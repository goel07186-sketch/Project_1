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ACA72C66-2076-45FE-B2C3-BD3242EB1722}" xr6:coauthVersionLast="47" xr6:coauthVersionMax="47" xr10:uidLastSave="{00000000-0000-0000-0000-000000000000}"/>
  <bookViews>
    <workbookView xWindow="-108" yWindow="-108" windowWidth="23256" windowHeight="12456" xr2:uid="{D99FFB2D-FF50-4F27-B1BE-CB2505AA23D7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8" i="1" l="1"/>
  <c r="D419" i="1"/>
  <c r="D420" i="1"/>
  <c r="D421" i="1"/>
  <c r="D422" i="1"/>
  <c r="D423" i="1"/>
  <c r="D424" i="1"/>
  <c r="D417" i="1"/>
  <c r="B512" i="1" l="1" a="1"/>
  <c r="B512" i="1" s="1"/>
  <c r="G400" i="1" a="1"/>
  <c r="G400" i="1" s="1"/>
  <c r="B470" i="1" l="1" a="1"/>
  <c r="B470" i="1" s="1"/>
  <c r="C470" i="1" s="1" a="1"/>
  <c r="C470" i="1" s="1"/>
  <c r="B460" i="1" a="1"/>
  <c r="B460" i="1" s="1"/>
  <c r="F460" i="1" s="1"/>
  <c r="C459" i="1" a="1"/>
  <c r="C459" i="1" s="1"/>
  <c r="B448" i="1" a="1"/>
  <c r="B448" i="1" s="1"/>
  <c r="C460" i="1" l="1"/>
  <c r="E461" i="1"/>
  <c r="G462" i="1"/>
  <c r="C464" i="1"/>
  <c r="E465" i="1"/>
  <c r="G466" i="1"/>
  <c r="C475" i="1" a="1"/>
  <c r="C475" i="1" s="1"/>
  <c r="D460" i="1"/>
  <c r="F461" i="1"/>
  <c r="H462" i="1"/>
  <c r="D464" i="1"/>
  <c r="F465" i="1"/>
  <c r="H466" i="1"/>
  <c r="C474" i="1" a="1"/>
  <c r="C474" i="1" s="1"/>
  <c r="G460" i="1"/>
  <c r="C462" i="1"/>
  <c r="E463" i="1"/>
  <c r="G464" i="1"/>
  <c r="C466" i="1"/>
  <c r="E467" i="1"/>
  <c r="C471" i="1" a="1"/>
  <c r="C471" i="1" s="1"/>
  <c r="H460" i="1"/>
  <c r="D462" i="1"/>
  <c r="F463" i="1"/>
  <c r="H464" i="1"/>
  <c r="D466" i="1"/>
  <c r="F467" i="1"/>
  <c r="E460" i="1"/>
  <c r="C461" i="1"/>
  <c r="G461" i="1"/>
  <c r="E462" i="1"/>
  <c r="I462" i="1" s="1"/>
  <c r="C463" i="1"/>
  <c r="G463" i="1"/>
  <c r="E464" i="1"/>
  <c r="C465" i="1"/>
  <c r="G465" i="1"/>
  <c r="E466" i="1"/>
  <c r="C467" i="1"/>
  <c r="G467" i="1"/>
  <c r="C473" i="1" a="1"/>
  <c r="C473" i="1" s="1"/>
  <c r="D461" i="1"/>
  <c r="H461" i="1"/>
  <c r="F462" i="1"/>
  <c r="D463" i="1"/>
  <c r="H463" i="1"/>
  <c r="F464" i="1"/>
  <c r="D465" i="1"/>
  <c r="H465" i="1"/>
  <c r="F466" i="1"/>
  <c r="D467" i="1"/>
  <c r="H467" i="1"/>
  <c r="C472" i="1" a="1"/>
  <c r="C472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" i="1"/>
  <c r="B444" i="1"/>
  <c r="B410" i="1" a="1"/>
  <c r="B410" i="1" s="1"/>
  <c r="B406" i="1"/>
  <c r="B396" i="1" a="1"/>
  <c r="B396" i="1" s="1"/>
  <c r="B393" i="1"/>
  <c r="B390" i="1"/>
  <c r="B387" i="1"/>
  <c r="I464" i="1" l="1"/>
  <c r="I466" i="1"/>
  <c r="I460" i="1"/>
  <c r="I463" i="1"/>
  <c r="I465" i="1"/>
  <c r="B515" i="1" a="1"/>
  <c r="B515" i="1" s="1"/>
  <c r="I467" i="1"/>
  <c r="C447" i="1" a="1"/>
  <c r="I46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C413" i="1" s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" i="1"/>
  <c r="G401" i="1" l="1"/>
  <c r="I401" i="1"/>
  <c r="L401" i="1"/>
  <c r="H401" i="1"/>
  <c r="K401" i="1"/>
  <c r="J401" i="1"/>
  <c r="C447" i="1"/>
  <c r="M455" i="1"/>
  <c r="I455" i="1"/>
  <c r="E455" i="1"/>
  <c r="M454" i="1"/>
  <c r="E454" i="1"/>
  <c r="M453" i="1"/>
  <c r="I453" i="1"/>
  <c r="E453" i="1"/>
  <c r="I452" i="1"/>
  <c r="E452" i="1"/>
  <c r="I451" i="1"/>
  <c r="M450" i="1"/>
  <c r="E450" i="1"/>
  <c r="M449" i="1"/>
  <c r="E449" i="1"/>
  <c r="I448" i="1"/>
  <c r="I454" i="1"/>
  <c r="M452" i="1"/>
  <c r="M451" i="1"/>
  <c r="E451" i="1"/>
  <c r="I450" i="1"/>
  <c r="I449" i="1"/>
  <c r="M448" i="1"/>
  <c r="E448" i="1"/>
  <c r="F449" i="1"/>
  <c r="J450" i="1"/>
  <c r="N451" i="1"/>
  <c r="F453" i="1"/>
  <c r="J454" i="1"/>
  <c r="N455" i="1"/>
  <c r="G449" i="1"/>
  <c r="K450" i="1"/>
  <c r="G453" i="1"/>
  <c r="K454" i="1"/>
  <c r="D449" i="1"/>
  <c r="H450" i="1"/>
  <c r="L451" i="1"/>
  <c r="D453" i="1"/>
  <c r="H454" i="1"/>
  <c r="L455" i="1"/>
  <c r="L448" i="1"/>
  <c r="F448" i="1"/>
  <c r="J449" i="1"/>
  <c r="N450" i="1"/>
  <c r="F452" i="1"/>
  <c r="J453" i="1"/>
  <c r="N454" i="1"/>
  <c r="G448" i="1"/>
  <c r="K449" i="1"/>
  <c r="G452" i="1"/>
  <c r="K453" i="1"/>
  <c r="H449" i="1"/>
  <c r="L450" i="1"/>
  <c r="D452" i="1"/>
  <c r="H453" i="1"/>
  <c r="L454" i="1"/>
  <c r="J448" i="1"/>
  <c r="N449" i="1"/>
  <c r="F451" i="1"/>
  <c r="J452" i="1"/>
  <c r="N453" i="1"/>
  <c r="F455" i="1"/>
  <c r="K448" i="1"/>
  <c r="G451" i="1"/>
  <c r="K452" i="1"/>
  <c r="G455" i="1"/>
  <c r="D448" i="1"/>
  <c r="L449" i="1"/>
  <c r="D451" i="1"/>
  <c r="H452" i="1"/>
  <c r="L453" i="1"/>
  <c r="D455" i="1"/>
  <c r="N448" i="1"/>
  <c r="F450" i="1"/>
  <c r="J451" i="1"/>
  <c r="N452" i="1"/>
  <c r="F454" i="1"/>
  <c r="J455" i="1"/>
  <c r="G450" i="1"/>
  <c r="K451" i="1"/>
  <c r="G454" i="1"/>
  <c r="K455" i="1"/>
  <c r="H448" i="1"/>
  <c r="D450" i="1"/>
  <c r="H451" i="1"/>
  <c r="L452" i="1"/>
  <c r="D454" i="1"/>
  <c r="H455" i="1"/>
  <c r="C410" i="1"/>
  <c r="C411" i="1"/>
  <c r="C412" i="1"/>
  <c r="B403" i="1"/>
  <c r="C403" i="1" s="1"/>
  <c r="H456" i="1" l="1"/>
  <c r="M456" i="1"/>
  <c r="N456" i="1"/>
  <c r="J456" i="1"/>
  <c r="L456" i="1"/>
  <c r="G456" i="1"/>
  <c r="E456" i="1"/>
  <c r="I456" i="1"/>
  <c r="C448" i="1"/>
  <c r="C452" i="1"/>
  <c r="C451" i="1"/>
  <c r="C455" i="1"/>
  <c r="C450" i="1"/>
  <c r="C454" i="1"/>
  <c r="C449" i="1"/>
  <c r="C453" i="1"/>
  <c r="D456" i="1"/>
  <c r="K456" i="1"/>
  <c r="F456" i="1"/>
  <c r="B400" i="1"/>
  <c r="C456" i="1" l="1"/>
  <c r="O449" i="1" l="1"/>
  <c r="O453" i="1"/>
  <c r="O455" i="1"/>
  <c r="O452" i="1"/>
  <c r="O451" i="1"/>
  <c r="O454" i="1"/>
  <c r="O448" i="1"/>
  <c r="O450" i="1"/>
  <c r="C533" i="1" a="1"/>
  <c r="C533" i="1" s="1"/>
  <c r="C544" i="1" l="1" a="1"/>
  <c r="C5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<sst xmlns="http://schemas.openxmlformats.org/spreadsheetml/2006/main" count="2040" uniqueCount="152">
  <si>
    <t>Sales Date</t>
  </si>
  <si>
    <t>Employee ID</t>
  </si>
  <si>
    <t>Employee Name</t>
  </si>
  <si>
    <t>State</t>
  </si>
  <si>
    <t>City</t>
  </si>
  <si>
    <t>Product</t>
  </si>
  <si>
    <t>Quantity Sold</t>
  </si>
  <si>
    <t>EMP001</t>
  </si>
  <si>
    <t>Amit Sharma</t>
  </si>
  <si>
    <t>Uttar Pradesh</t>
  </si>
  <si>
    <t>Lucknow</t>
  </si>
  <si>
    <t>AC</t>
  </si>
  <si>
    <t>EMP002</t>
  </si>
  <si>
    <t>Neha Verma</t>
  </si>
  <si>
    <t>Haryana</t>
  </si>
  <si>
    <t>Gurgaon</t>
  </si>
  <si>
    <t>RO</t>
  </si>
  <si>
    <t>EMP003</t>
  </si>
  <si>
    <t>Rajesh Patel</t>
  </si>
  <si>
    <t>Gujarat</t>
  </si>
  <si>
    <t>Ahmedabad</t>
  </si>
  <si>
    <t>Refrigerator</t>
  </si>
  <si>
    <t>EMP004</t>
  </si>
  <si>
    <t>Pooja Singh</t>
  </si>
  <si>
    <t>Rajasthan</t>
  </si>
  <si>
    <t>Jaipur</t>
  </si>
  <si>
    <t>LED</t>
  </si>
  <si>
    <t>EMP005</t>
  </si>
  <si>
    <t>Sachin Mehra</t>
  </si>
  <si>
    <t>Maharashtra</t>
  </si>
  <si>
    <t>Mumbai</t>
  </si>
  <si>
    <t>Water Cooler</t>
  </si>
  <si>
    <t>EMP006</t>
  </si>
  <si>
    <t>Anjali Chauhan</t>
  </si>
  <si>
    <t>Uttarakhand</t>
  </si>
  <si>
    <t>Dehradun</t>
  </si>
  <si>
    <t>EMP007</t>
  </si>
  <si>
    <t>Vikram Joshi</t>
  </si>
  <si>
    <t>Kanpur</t>
  </si>
  <si>
    <t>EMP008</t>
  </si>
  <si>
    <t>Meena Rathi</t>
  </si>
  <si>
    <t>Faridabad</t>
  </si>
  <si>
    <t>Surat</t>
  </si>
  <si>
    <t>Kota</t>
  </si>
  <si>
    <t>Pune</t>
  </si>
  <si>
    <t>Haridwar</t>
  </si>
  <si>
    <t>Agra</t>
  </si>
  <si>
    <t>Panipat</t>
  </si>
  <si>
    <t>Rajkot</t>
  </si>
  <si>
    <t>Udaipur</t>
  </si>
  <si>
    <t>Nagpur</t>
  </si>
  <si>
    <t>Nainital</t>
  </si>
  <si>
    <t>Varanasi</t>
  </si>
  <si>
    <t>Hisar</t>
  </si>
  <si>
    <t>Vadodara</t>
  </si>
  <si>
    <t>Bikaner</t>
  </si>
  <si>
    <t>Thane</t>
  </si>
  <si>
    <t>Rudrapur</t>
  </si>
  <si>
    <t>Noida</t>
  </si>
  <si>
    <t>Ambala</t>
  </si>
  <si>
    <t>Bhavnagar</t>
  </si>
  <si>
    <t>Ajmer</t>
  </si>
  <si>
    <t>Nashik</t>
  </si>
  <si>
    <t>Pauri</t>
  </si>
  <si>
    <t>Aligarh</t>
  </si>
  <si>
    <t>Karnal</t>
  </si>
  <si>
    <t xml:space="preserve">Price </t>
  </si>
  <si>
    <t xml:space="preserve">Total Sale </t>
  </si>
  <si>
    <t>1 YEAR SALES OF ELECTRONICS SHOP</t>
  </si>
  <si>
    <t>QUESTION 1</t>
  </si>
  <si>
    <t>How many employees are working in sales department ?</t>
  </si>
  <si>
    <t>ANSWER 1</t>
  </si>
  <si>
    <t>QUESTION 2</t>
  </si>
  <si>
    <t>How many products are sold during first quarter?</t>
  </si>
  <si>
    <t>ANSWER 2</t>
  </si>
  <si>
    <t>QUESTION 3</t>
  </si>
  <si>
    <t>Which product was sold most frequently across all dates?</t>
  </si>
  <si>
    <t>ANSWER 3</t>
  </si>
  <si>
    <t>QUESTION 4</t>
  </si>
  <si>
    <t>On which States did "Amit Sharma" Make a sale ?</t>
  </si>
  <si>
    <t>ANSWER 4</t>
  </si>
  <si>
    <t>QUESTION 5</t>
  </si>
  <si>
    <t>QUESTION 6</t>
  </si>
  <si>
    <t>Which city had the highest sales, and what was the total sales amount?</t>
  </si>
  <si>
    <t xml:space="preserve">QUESTION 7 </t>
  </si>
  <si>
    <t>Which city had the highest number of Ac sold?</t>
  </si>
  <si>
    <t>QUESTION 8</t>
  </si>
  <si>
    <t>ANSWER 5</t>
  </si>
  <si>
    <t>Which state had the highest Sales and what was the total sales amount?</t>
  </si>
  <si>
    <t>ANSWER 6</t>
  </si>
  <si>
    <t>ANSWER 7</t>
  </si>
  <si>
    <t>QUESTION 9</t>
  </si>
  <si>
    <t>Which empolyees made sales in Dehradun and what were their total sales in Dehradun for the entire year?</t>
  </si>
  <si>
    <t>Total Sales</t>
  </si>
  <si>
    <t>ANSWER 9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</si>
  <si>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</si>
  <si>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</si>
  <si>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</si>
  <si>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</si>
  <si>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</si>
  <si>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</si>
  <si>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</si>
  <si>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</si>
  <si>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</si>
  <si>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</si>
  <si>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</si>
  <si>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</si>
  <si>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</si>
  <si>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Employees Name</t>
  </si>
  <si>
    <t>Employees 
Name</t>
  </si>
  <si>
    <t>Determine trhe total monthly sales of each employees ?</t>
  </si>
  <si>
    <t>QUESTION 10</t>
  </si>
  <si>
    <t>ANSWER 10</t>
  </si>
  <si>
    <t/>
  </si>
  <si>
    <t xml:space="preserve"> </t>
  </si>
  <si>
    <t>Months</t>
  </si>
  <si>
    <t>QUESTION 11</t>
  </si>
  <si>
    <t>In which month did the highest sales occur ?</t>
  </si>
  <si>
    <t>ANSWER 11</t>
  </si>
  <si>
    <t>QUESTION 12</t>
  </si>
  <si>
    <t>Maximum Sales</t>
  </si>
  <si>
    <t>Identify the employees who had the highest sales for at least Two months ?</t>
  </si>
  <si>
    <t>Count Maximum</t>
  </si>
  <si>
    <t>ANSWER 12</t>
  </si>
  <si>
    <t>Are there any employees who have made sales in every state ?</t>
  </si>
  <si>
    <t>QUESTION 13</t>
  </si>
  <si>
    <t>ANSWER 13</t>
  </si>
  <si>
    <t>Name if any</t>
  </si>
  <si>
    <t>QUESTION 14</t>
  </si>
  <si>
    <t>In which States and Cities did sales occur ?</t>
  </si>
  <si>
    <t>ANSWER 14</t>
  </si>
  <si>
    <t>What were the yearly sales figure for each state ?</t>
  </si>
  <si>
    <t>QUESTION 15</t>
  </si>
  <si>
    <t>ANSWER 15</t>
  </si>
  <si>
    <t>ANSWER 8</t>
  </si>
  <si>
    <t>Could you provide the sales figures broken down by month ?</t>
  </si>
  <si>
    <t>QUESTION 16</t>
  </si>
  <si>
    <t>ANSWER 16</t>
  </si>
  <si>
    <t>QUESTION 17</t>
  </si>
  <si>
    <t>Which employee has the most entries in the dataset ?</t>
  </si>
  <si>
    <t>ANSWER 17</t>
  </si>
  <si>
    <t>List all sales done by Pooja Singh in Uttar pradesh and Haryana ?</t>
  </si>
  <si>
    <t>QUESTION 18</t>
  </si>
  <si>
    <t>ANSWER 18</t>
  </si>
  <si>
    <t>Quantity</t>
  </si>
  <si>
    <t>Price</t>
  </si>
  <si>
    <t>Total Sale</t>
  </si>
  <si>
    <t>April</t>
  </si>
  <si>
    <t>Month wise first transaction done by the employees</t>
  </si>
  <si>
    <t>Month wise last transaction done by the employees</t>
  </si>
  <si>
    <t>Build a ranking of employees based on total sales revenue ?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</si>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</sst>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i/>
      <sz val="16"/>
      <color theme="8" tint="-0.249977111117893"/>
      <name val="Algerian"/>
      <family val="5"/>
    </font>
    <font>
      <sz val="14"/>
      <color theme="0"/>
      <name val="Bahnschrift Condensed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4" tint="0.79998168889431442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/>
    <xf numFmtId="0" fontId="0" fillId="0" borderId="0" xfId="0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6" borderId="1" xfId="0" applyFont="1" applyFill="1" applyBorder="1"/>
    <xf numFmtId="0" fontId="3" fillId="6" borderId="1" xfId="0" applyFont="1" applyFill="1" applyBorder="1"/>
    <xf numFmtId="0" fontId="6" fillId="7" borderId="1" xfId="0" applyFont="1" applyFill="1" applyBorder="1"/>
    <xf numFmtId="0" fontId="7" fillId="0" borderId="0" xfId="0" applyFont="1"/>
    <xf numFmtId="0" fontId="7" fillId="0" borderId="1" xfId="0" applyFont="1" applyBorder="1"/>
    <xf numFmtId="0" fontId="8" fillId="4" borderId="1" xfId="0" applyFont="1" applyFill="1" applyBorder="1"/>
    <xf numFmtId="0" fontId="4" fillId="8" borderId="1" xfId="0" applyFont="1" applyFill="1" applyBorder="1"/>
    <xf numFmtId="0" fontId="0" fillId="9" borderId="0" xfId="0" applyFill="1"/>
    <xf numFmtId="14" fontId="0" fillId="4" borderId="0" xfId="0" applyNumberFormat="1" applyFill="1"/>
    <xf numFmtId="0" fontId="9" fillId="6" borderId="1" xfId="0" applyFont="1" applyFill="1" applyBorder="1"/>
    <xf numFmtId="0" fontId="10" fillId="10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rgb="FFFF99FF"/>
        </patternFill>
      </fill>
    </dxf>
    <dxf>
      <fill>
        <patternFill patternType="solid">
          <bgColor rgb="FF6600FF"/>
        </patternFill>
      </fill>
    </dxf>
    <dxf>
      <fill>
        <patternFill patternType="solid">
          <bgColor rgb="FF6600FF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21E6A8ED-282C-45A3-BBBE-1807B855C104}"/>
  </tableStyles>
  <colors>
    <mruColors>
      <color rgb="FFFF99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6600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13648293963255"/>
          <c:y val="0.19486111111111112"/>
          <c:w val="0.72312270341207352"/>
          <c:h val="0.5693183143773694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6600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Gujarat</c:v>
              </c:pt>
              <c:pt idx="1">
                <c:v>Haryana</c:v>
              </c:pt>
              <c:pt idx="2">
                <c:v>Maharashtra</c:v>
              </c:pt>
              <c:pt idx="3">
                <c:v>Rajasthan</c:v>
              </c:pt>
              <c:pt idx="4">
                <c:v>Uttar Pradesh</c:v>
              </c:pt>
              <c:pt idx="5">
                <c:v>Uttarakhand</c:v>
              </c:pt>
            </c:strLit>
          </c:cat>
          <c:val>
            <c:numLit>
              <c:formatCode>General</c:formatCode>
              <c:ptCount val="6"/>
              <c:pt idx="0">
                <c:v>1986800</c:v>
              </c:pt>
              <c:pt idx="1">
                <c:v>1960100</c:v>
              </c:pt>
              <c:pt idx="2">
                <c:v>2123300</c:v>
              </c:pt>
              <c:pt idx="3">
                <c:v>2400300</c:v>
              </c:pt>
              <c:pt idx="4">
                <c:v>2565400</c:v>
              </c:pt>
              <c:pt idx="5">
                <c:v>2077200</c:v>
              </c:pt>
            </c:numLit>
          </c:val>
          <c:extLst>
            <c:ext xmlns:c16="http://schemas.microsoft.com/office/drawing/2014/chart" uri="{C3380CC4-5D6E-409C-BE32-E72D297353CC}">
              <c16:uniqueId val="{00000000-F9E0-45EB-9B66-3022C43A1A1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2265887"/>
        <c:axId val="424345007"/>
      </c:barChart>
      <c:catAx>
        <c:axId val="103226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3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45007"/>
        <c:crosses val="autoZero"/>
        <c:auto val="1"/>
        <c:lblAlgn val="ctr"/>
        <c:lblOffset val="100"/>
        <c:noMultiLvlLbl val="0"/>
      </c:catAx>
      <c:valAx>
        <c:axId val="4243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6600FF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6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gradFill flip="none" rotWithShape="1">
                <a:gsLst>
                  <a:gs pos="0">
                    <a:schemeClr val="accent5">
                      <a:lumMod val="89000"/>
                    </a:schemeClr>
                  </a:gs>
                  <a:gs pos="23000">
                    <a:schemeClr val="accent5">
                      <a:lumMod val="89000"/>
                    </a:schemeClr>
                  </a:gs>
                  <a:gs pos="69000">
                    <a:schemeClr val="accent5">
                      <a:lumMod val="75000"/>
                    </a:schemeClr>
                  </a:gs>
                  <a:gs pos="97000">
                    <a:schemeClr val="accent5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round/>
            </a:ln>
            <a:effectLst>
              <a:glow rad="63500">
                <a:srgbClr val="FFC000">
                  <a:alpha val="40000"/>
                </a:srgbClr>
              </a:glo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 rad="63500">
                  <a:srgbClr val="FFC000">
                    <a:alpha val="40000"/>
                  </a:srgbClr>
                </a:glow>
              </a:effectLst>
            </c:spPr>
          </c:marker>
          <c:dLbls>
            <c:dLbl>
              <c:idx val="0"/>
              <c:layout>
                <c:manualLayout>
                  <c:x val="-3.8747474747474746E-2"/>
                  <c:y val="-5.783573928258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81-47B8-9CCE-8F52E065D8F7}"/>
                </c:ext>
              </c:extLst>
            </c:dLbl>
            <c:dLbl>
              <c:idx val="1"/>
              <c:layout>
                <c:manualLayout>
                  <c:x val="-5.8949494949494946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81-47B8-9CCE-8F52E065D8F7}"/>
                </c:ext>
              </c:extLst>
            </c:dLbl>
            <c:dLbl>
              <c:idx val="2"/>
              <c:layout>
                <c:manualLayout>
                  <c:x val="-6.5575757575757607E-2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81-47B8-9CCE-8F52E065D8F7}"/>
                </c:ext>
              </c:extLst>
            </c:dLbl>
            <c:dLbl>
              <c:idx val="3"/>
              <c:layout>
                <c:manualLayout>
                  <c:x val="-2.9212121212121214E-2"/>
                  <c:y val="7.179389034703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81-47B8-9CCE-8F52E065D8F7}"/>
                </c:ext>
              </c:extLst>
            </c:dLbl>
            <c:dLbl>
              <c:idx val="4"/>
              <c:layout>
                <c:manualLayout>
                  <c:x val="-7.7696969696969695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81-47B8-9CCE-8F52E065D8F7}"/>
                </c:ext>
              </c:extLst>
            </c:dLbl>
            <c:dLbl>
              <c:idx val="5"/>
              <c:layout>
                <c:manualLayout>
                  <c:x val="-2.5171717171717171E-2"/>
                  <c:y val="-5.7835739282589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81-47B8-9CCE-8F52E065D8F7}"/>
                </c:ext>
              </c:extLst>
            </c:dLbl>
            <c:dLbl>
              <c:idx val="6"/>
              <c:layout>
                <c:manualLayout>
                  <c:x val="-0.108"/>
                  <c:y val="2.0867964421113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81-47B8-9CCE-8F52E065D8F7}"/>
                </c:ext>
              </c:extLst>
            </c:dLbl>
            <c:dLbl>
              <c:idx val="7"/>
              <c:layout>
                <c:manualLayout>
                  <c:x val="-6.2989898989898985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81-47B8-9CCE-8F52E065D8F7}"/>
                </c:ext>
              </c:extLst>
            </c:dLbl>
            <c:dLbl>
              <c:idx val="8"/>
              <c:layout>
                <c:manualLayout>
                  <c:x val="-9.3292929292929289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81-47B8-9CCE-8F52E065D8F7}"/>
                </c:ext>
              </c:extLst>
            </c:dLbl>
            <c:dLbl>
              <c:idx val="9"/>
              <c:layout>
                <c:manualLayout>
                  <c:x val="-6.0969696969696972E-2"/>
                  <c:y val="-8.0983887430737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81-47B8-9CCE-8F52E065D8F7}"/>
                </c:ext>
              </c:extLst>
            </c:dLbl>
            <c:dLbl>
              <c:idx val="10"/>
              <c:layout>
                <c:manualLayout>
                  <c:x val="-8.925252525252525E-2"/>
                  <c:y val="8.105314960629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81-47B8-9CCE-8F52E065D8F7}"/>
                </c:ext>
              </c:extLst>
            </c:dLbl>
            <c:dLbl>
              <c:idx val="11"/>
              <c:layout>
                <c:manualLayout>
                  <c:x val="-4.824576473395386E-2"/>
                  <c:y val="-6.7094998541848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81-47B8-9CCE-8F52E065D8F7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969200</c:v>
              </c:pt>
              <c:pt idx="1">
                <c:v>804100</c:v>
              </c:pt>
              <c:pt idx="2">
                <c:v>1015100</c:v>
              </c:pt>
              <c:pt idx="3">
                <c:v>1380700</c:v>
              </c:pt>
              <c:pt idx="4">
                <c:v>1898200</c:v>
              </c:pt>
              <c:pt idx="5">
                <c:v>1538300</c:v>
              </c:pt>
              <c:pt idx="6">
                <c:v>1041600</c:v>
              </c:pt>
              <c:pt idx="7">
                <c:v>926700</c:v>
              </c:pt>
              <c:pt idx="8">
                <c:v>887000</c:v>
              </c:pt>
              <c:pt idx="9">
                <c:v>824600</c:v>
              </c:pt>
              <c:pt idx="10">
                <c:v>895800</c:v>
              </c:pt>
              <c:pt idx="11">
                <c:v>931800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C81-47B8-9CCE-8F52E065D8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2139775"/>
        <c:axId val="434719631"/>
      </c:lineChart>
      <c:catAx>
        <c:axId val="39213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19631"/>
        <c:crosses val="autoZero"/>
        <c:auto val="1"/>
        <c:lblAlgn val="ctr"/>
        <c:lblOffset val="100"/>
        <c:noMultiLvlLbl val="0"/>
      </c:catAx>
      <c:valAx>
        <c:axId val="43471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139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sphere">
      <a:fgClr>
        <a:schemeClr val="accent1">
          <a:lumMod val="20000"/>
          <a:lumOff val="80000"/>
        </a:schemeClr>
      </a:fgClr>
      <a:bgClr>
        <a:schemeClr val="accent1">
          <a:lumMod val="40000"/>
          <a:lumOff val="60000"/>
        </a:schemeClr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477</xdr:row>
      <xdr:rowOff>7620</xdr:rowOff>
    </xdr:from>
    <xdr:to>
      <xdr:col>6</xdr:col>
      <xdr:colOff>815340</xdr:colOff>
      <xdr:row>492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AC37F-0DB7-9540-BF7B-87ADAC744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494</xdr:row>
      <xdr:rowOff>7620</xdr:rowOff>
    </xdr:from>
    <xdr:to>
      <xdr:col>7</xdr:col>
      <xdr:colOff>845820</xdr:colOff>
      <xdr:row>509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B7603-B033-7DCD-010A-7691D4B65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an Goel" refreshedDate="45903.791650694446" createdVersion="8" refreshedVersion="8" minRefreshableVersion="3" recordCount="382" xr:uid="{F3BD7029-F237-4E43-B517-AF7BFFE69383}">
  <cacheSource type="worksheet">
    <worksheetSource ref="A2:J384" sheet="Sheet1"/>
  </cacheSource>
  <cacheFields count="12">
    <cacheField name="Sales Date" numFmtId="14">
      <sharedItems containsSemiMixedTypes="0" containsNonDate="0" containsDate="1" containsString="0" minDate="2024-04-01T00:00:00" maxDate="2025-04-01T00:00:00" count="365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1"/>
    </cacheField>
    <cacheField name="Employee ID" numFmtId="0">
      <sharedItems/>
    </cacheField>
    <cacheField name="Employee Name" numFmtId="0">
      <sharedItems count="8">
        <s v="Amit Sharma"/>
        <s v="Neha Verma"/>
        <s v="Rajesh Patel"/>
        <s v="Pooja Singh"/>
        <s v="Sachin Mehra"/>
        <s v="Anjali Chauhan"/>
        <s v="Vikram Joshi"/>
        <s v="Meena Rathi"/>
      </sharedItems>
    </cacheField>
    <cacheField name="State" numFmtId="0">
      <sharedItems count="6">
        <s v="Uttar Pradesh"/>
        <s v="Haryana"/>
        <s v="Gujarat"/>
        <s v="Rajasthan"/>
        <s v="Maharashtra"/>
        <s v="Uttarakhand"/>
      </sharedItems>
    </cacheField>
    <cacheField name="City" numFmtId="0">
      <sharedItems count="32">
        <s v="Lucknow"/>
        <s v="Gurgaon"/>
        <s v="Ahmedabad"/>
        <s v="Jaipur"/>
        <s v="Mumbai"/>
        <s v="Dehradun"/>
        <s v="Kanpur"/>
        <s v="Faridabad"/>
        <s v="Surat"/>
        <s v="Kota"/>
        <s v="Pune"/>
        <s v="Haridwar"/>
        <s v="Agra"/>
        <s v="Panipat"/>
        <s v="Rajkot"/>
        <s v="Udaipur"/>
        <s v="Nagpur"/>
        <s v="Nainital"/>
        <s v="Varanasi"/>
        <s v="Hisar"/>
        <s v="Vadodara"/>
        <s v="Bikaner"/>
        <s v="Thane"/>
        <s v="Rudrapur"/>
        <s v="Noida"/>
        <s v="Ambala"/>
        <s v="Bhavnagar"/>
        <s v="Ajmer"/>
        <s v="Nashik"/>
        <s v="Pauri"/>
        <s v="Aligarh"/>
        <s v="Karnal"/>
      </sharedItems>
    </cacheField>
    <cacheField name="Product" numFmtId="0">
      <sharedItems count="5">
        <s v="AC"/>
        <s v="RO"/>
        <s v="Refrigerator"/>
        <s v="LED"/>
        <s v="Water Cooler"/>
      </sharedItems>
    </cacheField>
    <cacheField name="Quantity Sold" numFmtId="0">
      <sharedItems containsSemiMixedTypes="0" containsString="0" containsNumber="1" containsInteger="1" minValue="1" maxValue="9"/>
    </cacheField>
    <cacheField name="Price " numFmtId="0">
      <sharedItems containsSemiMixedTypes="0" containsString="0" containsNumber="1" containsInteger="1" minValue="8500" maxValue="33100"/>
    </cacheField>
    <cacheField name="Total Sale " numFmtId="0">
      <sharedItems containsSemiMixedTypes="0" containsString="0" containsNumber="1" containsInteger="1" minValue="8500" maxValue="287100" count="97">
        <n v="64000"/>
        <n v="12000"/>
        <n v="54000"/>
        <n v="18000"/>
        <n v="60000"/>
        <n v="31000"/>
        <n v="23000"/>
        <n v="17500"/>
        <n v="25500"/>
        <n v="87000"/>
        <n v="162500"/>
        <n v="11800"/>
        <n v="129500"/>
        <n v="8800"/>
        <n v="45600"/>
        <n v="63000"/>
        <n v="95200"/>
        <n v="18200"/>
        <n v="17400"/>
        <n v="14800"/>
        <n v="66000"/>
        <n v="23400"/>
        <n v="53400"/>
        <n v="8600"/>
        <n v="75000"/>
        <n v="31800"/>
        <n v="11600"/>
        <n v="36000"/>
        <n v="26700"/>
        <n v="89400"/>
        <n v="64400"/>
        <n v="35800"/>
        <n v="27300"/>
        <n v="120800"/>
        <n v="191400"/>
        <n v="35200"/>
        <n v="17600"/>
        <n v="59600"/>
        <n v="32800"/>
        <n v="36600"/>
        <n v="8700"/>
        <n v="30400"/>
        <n v="126400"/>
        <n v="11900"/>
        <n v="18100"/>
        <n v="25800"/>
        <n v="102900"/>
        <n v="165500"/>
        <n v="23200"/>
        <n v="53100"/>
        <n v="8500"/>
        <n v="30000"/>
        <n v="126800"/>
        <n v="11500"/>
        <n v="29800"/>
        <n v="161000"/>
        <n v="190200"/>
        <n v="44700"/>
        <n v="257600"/>
        <n v="30200"/>
        <n v="287100"/>
        <n v="65600"/>
        <n v="14700"/>
        <n v="66200"/>
        <n v="17000"/>
        <n v="14900"/>
        <n v="193200"/>
        <n v="15100"/>
        <n v="63800"/>
        <n v="63200"/>
        <n v="31700"/>
        <n v="31500"/>
        <n v="33100"/>
        <n v="63400"/>
        <n v="31900"/>
        <n v="32500"/>
        <n v="23600"/>
        <n v="15000"/>
        <n v="11700"/>
        <n v="33000"/>
        <n v="17900"/>
        <n v="63600"/>
        <n v="35600"/>
        <n v="32700"/>
        <n v="42500"/>
        <n v="45000"/>
        <n v="47200"/>
        <n v="36200"/>
        <n v="51600"/>
        <n v="72800"/>
        <n v="46000"/>
        <n v="72400"/>
        <n v="34000"/>
        <n v="44500"/>
        <n v="43500"/>
        <n v="34800"/>
        <n v="70800"/>
      </sharedItems>
    </cacheField>
    <cacheField name="Months (Sales Date)" numFmtId="0" databaseField="0">
      <fieldGroup base="0">
        <rangePr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Quarters (Sales Date)" numFmtId="0" databaseField="0">
      <fieldGroup base="0">
        <rangePr groupBy="quarters" startDate="2024-04-01T00:00:00" endDate="2025-04-01T00:00:00"/>
        <groupItems count="6">
          <s v="&lt;01-04-2024"/>
          <s v="Qtr1"/>
          <s v="Qtr2"/>
          <s v="Qtr3"/>
          <s v="Qtr4"/>
          <s v="&gt;01-04-2025"/>
        </groupItems>
      </fieldGroup>
    </cacheField>
    <cacheField name="Years (Sales Date)" numFmtId="0" databaseField="0">
      <fieldGroup base="0">
        <rangePr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x v="0"/>
    <s v="EMP001"/>
    <x v="0"/>
    <x v="0"/>
    <x v="0"/>
    <x v="0"/>
    <n v="2"/>
    <n v="32000"/>
    <x v="0"/>
  </r>
  <r>
    <x v="1"/>
    <s v="EMP002"/>
    <x v="1"/>
    <x v="1"/>
    <x v="1"/>
    <x v="1"/>
    <n v="1"/>
    <n v="12000"/>
    <x v="1"/>
  </r>
  <r>
    <x v="2"/>
    <s v="EMP003"/>
    <x v="2"/>
    <x v="2"/>
    <x v="2"/>
    <x v="2"/>
    <n v="3"/>
    <n v="18000"/>
    <x v="2"/>
  </r>
  <r>
    <x v="3"/>
    <s v="EMP004"/>
    <x v="3"/>
    <x v="3"/>
    <x v="3"/>
    <x v="3"/>
    <n v="2"/>
    <n v="9000"/>
    <x v="3"/>
  </r>
  <r>
    <x v="4"/>
    <s v="EMP005"/>
    <x v="4"/>
    <x v="4"/>
    <x v="4"/>
    <x v="4"/>
    <n v="4"/>
    <n v="15000"/>
    <x v="4"/>
  </r>
  <r>
    <x v="5"/>
    <s v="EMP006"/>
    <x v="5"/>
    <x v="5"/>
    <x v="5"/>
    <x v="0"/>
    <n v="1"/>
    <n v="31000"/>
    <x v="5"/>
  </r>
  <r>
    <x v="6"/>
    <s v="EMP007"/>
    <x v="6"/>
    <x v="0"/>
    <x v="6"/>
    <x v="1"/>
    <n v="2"/>
    <n v="11500"/>
    <x v="6"/>
  </r>
  <r>
    <x v="7"/>
    <s v="EMP008"/>
    <x v="7"/>
    <x v="1"/>
    <x v="7"/>
    <x v="2"/>
    <n v="1"/>
    <n v="17500"/>
    <x v="7"/>
  </r>
  <r>
    <x v="8"/>
    <s v="EMP001"/>
    <x v="0"/>
    <x v="2"/>
    <x v="8"/>
    <x v="3"/>
    <n v="3"/>
    <n v="8500"/>
    <x v="8"/>
  </r>
  <r>
    <x v="9"/>
    <s v="EMP002"/>
    <x v="1"/>
    <x v="3"/>
    <x v="9"/>
    <x v="4"/>
    <n v="6"/>
    <n v="14500"/>
    <x v="9"/>
  </r>
  <r>
    <x v="10"/>
    <s v="EMP003"/>
    <x v="2"/>
    <x v="4"/>
    <x v="10"/>
    <x v="0"/>
    <n v="5"/>
    <n v="32500"/>
    <x v="10"/>
  </r>
  <r>
    <x v="11"/>
    <s v="EMP004"/>
    <x v="3"/>
    <x v="5"/>
    <x v="11"/>
    <x v="1"/>
    <n v="1"/>
    <n v="11800"/>
    <x v="11"/>
  </r>
  <r>
    <x v="12"/>
    <s v="EMP005"/>
    <x v="4"/>
    <x v="0"/>
    <x v="12"/>
    <x v="2"/>
    <n v="7"/>
    <n v="18500"/>
    <x v="12"/>
  </r>
  <r>
    <x v="13"/>
    <s v="EMP006"/>
    <x v="5"/>
    <x v="1"/>
    <x v="13"/>
    <x v="3"/>
    <n v="1"/>
    <n v="8800"/>
    <x v="13"/>
  </r>
  <r>
    <x v="14"/>
    <s v="EMP007"/>
    <x v="6"/>
    <x v="2"/>
    <x v="14"/>
    <x v="4"/>
    <n v="3"/>
    <n v="15200"/>
    <x v="14"/>
  </r>
  <r>
    <x v="15"/>
    <s v="EMP008"/>
    <x v="7"/>
    <x v="3"/>
    <x v="15"/>
    <x v="0"/>
    <n v="2"/>
    <n v="31500"/>
    <x v="15"/>
  </r>
  <r>
    <x v="16"/>
    <s v="EMP001"/>
    <x v="0"/>
    <x v="4"/>
    <x v="16"/>
    <x v="1"/>
    <n v="8"/>
    <n v="11900"/>
    <x v="16"/>
  </r>
  <r>
    <x v="17"/>
    <s v="EMP002"/>
    <x v="1"/>
    <x v="5"/>
    <x v="17"/>
    <x v="2"/>
    <n v="1"/>
    <n v="18200"/>
    <x v="17"/>
  </r>
  <r>
    <x v="18"/>
    <s v="EMP003"/>
    <x v="2"/>
    <x v="0"/>
    <x v="18"/>
    <x v="3"/>
    <n v="2"/>
    <n v="8700"/>
    <x v="18"/>
  </r>
  <r>
    <x v="19"/>
    <s v="EMP004"/>
    <x v="3"/>
    <x v="1"/>
    <x v="19"/>
    <x v="4"/>
    <n v="1"/>
    <n v="14800"/>
    <x v="19"/>
  </r>
  <r>
    <x v="20"/>
    <s v="EMP005"/>
    <x v="4"/>
    <x v="2"/>
    <x v="20"/>
    <x v="0"/>
    <n v="2"/>
    <n v="33000"/>
    <x v="20"/>
  </r>
  <r>
    <x v="21"/>
    <s v="EMP006"/>
    <x v="5"/>
    <x v="3"/>
    <x v="21"/>
    <x v="1"/>
    <n v="2"/>
    <n v="11700"/>
    <x v="21"/>
  </r>
  <r>
    <x v="22"/>
    <s v="EMP007"/>
    <x v="6"/>
    <x v="4"/>
    <x v="22"/>
    <x v="2"/>
    <n v="3"/>
    <n v="17800"/>
    <x v="22"/>
  </r>
  <r>
    <x v="23"/>
    <s v="EMP008"/>
    <x v="7"/>
    <x v="5"/>
    <x v="23"/>
    <x v="3"/>
    <n v="1"/>
    <n v="8600"/>
    <x v="23"/>
  </r>
  <r>
    <x v="24"/>
    <s v="EMP001"/>
    <x v="0"/>
    <x v="0"/>
    <x v="24"/>
    <x v="4"/>
    <n v="5"/>
    <n v="15000"/>
    <x v="24"/>
  </r>
  <r>
    <x v="25"/>
    <s v="EMP002"/>
    <x v="1"/>
    <x v="1"/>
    <x v="25"/>
    <x v="0"/>
    <n v="1"/>
    <n v="31800"/>
    <x v="25"/>
  </r>
  <r>
    <x v="26"/>
    <s v="EMP003"/>
    <x v="2"/>
    <x v="2"/>
    <x v="26"/>
    <x v="1"/>
    <n v="1"/>
    <n v="11600"/>
    <x v="26"/>
  </r>
  <r>
    <x v="27"/>
    <s v="EMP004"/>
    <x v="3"/>
    <x v="3"/>
    <x v="27"/>
    <x v="2"/>
    <n v="2"/>
    <n v="18000"/>
    <x v="27"/>
  </r>
  <r>
    <x v="28"/>
    <s v="EMP005"/>
    <x v="4"/>
    <x v="4"/>
    <x v="28"/>
    <x v="3"/>
    <n v="3"/>
    <n v="8900"/>
    <x v="28"/>
  </r>
  <r>
    <x v="29"/>
    <s v="EMP006"/>
    <x v="5"/>
    <x v="5"/>
    <x v="29"/>
    <x v="4"/>
    <n v="6"/>
    <n v="14900"/>
    <x v="29"/>
  </r>
  <r>
    <x v="30"/>
    <s v="EMP007"/>
    <x v="6"/>
    <x v="0"/>
    <x v="30"/>
    <x v="0"/>
    <n v="2"/>
    <n v="32200"/>
    <x v="30"/>
  </r>
  <r>
    <x v="31"/>
    <s v="EMP008"/>
    <x v="7"/>
    <x v="1"/>
    <x v="31"/>
    <x v="1"/>
    <n v="1"/>
    <n v="12000"/>
    <x v="1"/>
  </r>
  <r>
    <x v="32"/>
    <s v="EMP001"/>
    <x v="0"/>
    <x v="2"/>
    <x v="8"/>
    <x v="2"/>
    <n v="2"/>
    <n v="17900"/>
    <x v="31"/>
  </r>
  <r>
    <x v="33"/>
    <s v="EMP002"/>
    <x v="1"/>
    <x v="3"/>
    <x v="3"/>
    <x v="3"/>
    <n v="3"/>
    <n v="9100"/>
    <x v="32"/>
  </r>
  <r>
    <x v="34"/>
    <s v="EMP003"/>
    <x v="2"/>
    <x v="4"/>
    <x v="4"/>
    <x v="4"/>
    <n v="8"/>
    <n v="15100"/>
    <x v="33"/>
  </r>
  <r>
    <x v="35"/>
    <s v="EMP004"/>
    <x v="3"/>
    <x v="5"/>
    <x v="5"/>
    <x v="0"/>
    <n v="6"/>
    <n v="31900"/>
    <x v="34"/>
  </r>
  <r>
    <x v="36"/>
    <s v="EMP005"/>
    <x v="4"/>
    <x v="0"/>
    <x v="6"/>
    <x v="1"/>
    <n v="2"/>
    <n v="11700"/>
    <x v="21"/>
  </r>
  <r>
    <x v="37"/>
    <s v="EMP006"/>
    <x v="5"/>
    <x v="1"/>
    <x v="7"/>
    <x v="2"/>
    <n v="2"/>
    <n v="17600"/>
    <x v="35"/>
  </r>
  <r>
    <x v="38"/>
    <s v="EMP007"/>
    <x v="6"/>
    <x v="2"/>
    <x v="2"/>
    <x v="3"/>
    <n v="2"/>
    <n v="8800"/>
    <x v="36"/>
  </r>
  <r>
    <x v="39"/>
    <s v="EMP008"/>
    <x v="7"/>
    <x v="3"/>
    <x v="9"/>
    <x v="4"/>
    <n v="4"/>
    <n v="14900"/>
    <x v="37"/>
  </r>
  <r>
    <x v="40"/>
    <s v="EMP001"/>
    <x v="0"/>
    <x v="4"/>
    <x v="10"/>
    <x v="0"/>
    <n v="1"/>
    <n v="32800"/>
    <x v="38"/>
  </r>
  <r>
    <x v="41"/>
    <s v="EMP002"/>
    <x v="1"/>
    <x v="5"/>
    <x v="11"/>
    <x v="1"/>
    <n v="1"/>
    <n v="11800"/>
    <x v="11"/>
  </r>
  <r>
    <x v="42"/>
    <s v="EMP003"/>
    <x v="2"/>
    <x v="0"/>
    <x v="12"/>
    <x v="2"/>
    <n v="2"/>
    <n v="18300"/>
    <x v="39"/>
  </r>
  <r>
    <x v="43"/>
    <s v="EMP004"/>
    <x v="3"/>
    <x v="1"/>
    <x v="13"/>
    <x v="3"/>
    <n v="1"/>
    <n v="8700"/>
    <x v="40"/>
  </r>
  <r>
    <x v="44"/>
    <s v="EMP005"/>
    <x v="4"/>
    <x v="2"/>
    <x v="14"/>
    <x v="4"/>
    <n v="2"/>
    <n v="15200"/>
    <x v="41"/>
  </r>
  <r>
    <x v="45"/>
    <s v="EMP006"/>
    <x v="5"/>
    <x v="3"/>
    <x v="15"/>
    <x v="0"/>
    <n v="4"/>
    <n v="31600"/>
    <x v="42"/>
  </r>
  <r>
    <x v="46"/>
    <s v="EMP007"/>
    <x v="6"/>
    <x v="4"/>
    <x v="16"/>
    <x v="1"/>
    <n v="1"/>
    <n v="11900"/>
    <x v="43"/>
  </r>
  <r>
    <x v="47"/>
    <s v="EMP008"/>
    <x v="7"/>
    <x v="5"/>
    <x v="17"/>
    <x v="2"/>
    <n v="1"/>
    <n v="18100"/>
    <x v="44"/>
  </r>
  <r>
    <x v="48"/>
    <s v="EMP001"/>
    <x v="0"/>
    <x v="0"/>
    <x v="18"/>
    <x v="3"/>
    <n v="3"/>
    <n v="8600"/>
    <x v="45"/>
  </r>
  <r>
    <x v="49"/>
    <s v="EMP002"/>
    <x v="1"/>
    <x v="1"/>
    <x v="19"/>
    <x v="4"/>
    <n v="7"/>
    <n v="14700"/>
    <x v="46"/>
  </r>
  <r>
    <x v="50"/>
    <s v="EMP003"/>
    <x v="2"/>
    <x v="2"/>
    <x v="20"/>
    <x v="0"/>
    <n v="5"/>
    <n v="33100"/>
    <x v="47"/>
  </r>
  <r>
    <x v="51"/>
    <s v="EMP004"/>
    <x v="3"/>
    <x v="3"/>
    <x v="21"/>
    <x v="1"/>
    <n v="2"/>
    <n v="11600"/>
    <x v="48"/>
  </r>
  <r>
    <x v="52"/>
    <s v="EMP005"/>
    <x v="4"/>
    <x v="4"/>
    <x v="22"/>
    <x v="2"/>
    <n v="3"/>
    <n v="17700"/>
    <x v="49"/>
  </r>
  <r>
    <x v="53"/>
    <s v="EMP006"/>
    <x v="5"/>
    <x v="5"/>
    <x v="23"/>
    <x v="3"/>
    <n v="1"/>
    <n v="8500"/>
    <x v="50"/>
  </r>
  <r>
    <x v="54"/>
    <s v="EMP007"/>
    <x v="6"/>
    <x v="0"/>
    <x v="24"/>
    <x v="4"/>
    <n v="2"/>
    <n v="15000"/>
    <x v="51"/>
  </r>
  <r>
    <x v="55"/>
    <s v="EMP008"/>
    <x v="7"/>
    <x v="1"/>
    <x v="25"/>
    <x v="0"/>
    <n v="4"/>
    <n v="31700"/>
    <x v="52"/>
  </r>
  <r>
    <x v="55"/>
    <s v="EMP006"/>
    <x v="5"/>
    <x v="1"/>
    <x v="25"/>
    <x v="3"/>
    <n v="1"/>
    <n v="8500"/>
    <x v="50"/>
  </r>
  <r>
    <x v="55"/>
    <s v="EMP004"/>
    <x v="3"/>
    <x v="3"/>
    <x v="21"/>
    <x v="1"/>
    <n v="2"/>
    <n v="11600"/>
    <x v="48"/>
  </r>
  <r>
    <x v="56"/>
    <s v="EMP001"/>
    <x v="0"/>
    <x v="4"/>
    <x v="28"/>
    <x v="1"/>
    <n v="1"/>
    <n v="11500"/>
    <x v="53"/>
  </r>
  <r>
    <x v="56"/>
    <s v="EMP001"/>
    <x v="0"/>
    <x v="2"/>
    <x v="26"/>
    <x v="1"/>
    <n v="1"/>
    <n v="11500"/>
    <x v="53"/>
  </r>
  <r>
    <x v="57"/>
    <s v="EMP002"/>
    <x v="1"/>
    <x v="3"/>
    <x v="27"/>
    <x v="2"/>
    <n v="2"/>
    <n v="17900"/>
    <x v="31"/>
  </r>
  <r>
    <x v="58"/>
    <s v="EMP003"/>
    <x v="2"/>
    <x v="4"/>
    <x v="28"/>
    <x v="3"/>
    <n v="3"/>
    <n v="8900"/>
    <x v="28"/>
  </r>
  <r>
    <x v="59"/>
    <s v="EMP004"/>
    <x v="3"/>
    <x v="5"/>
    <x v="29"/>
    <x v="4"/>
    <n v="2"/>
    <n v="14900"/>
    <x v="54"/>
  </r>
  <r>
    <x v="60"/>
    <s v="EMP005"/>
    <x v="4"/>
    <x v="0"/>
    <x v="30"/>
    <x v="0"/>
    <n v="5"/>
    <n v="32200"/>
    <x v="55"/>
  </r>
  <r>
    <x v="60"/>
    <s v="EMP002"/>
    <x v="1"/>
    <x v="1"/>
    <x v="25"/>
    <x v="0"/>
    <n v="6"/>
    <n v="31700"/>
    <x v="56"/>
  </r>
  <r>
    <x v="61"/>
    <s v="EMP003"/>
    <x v="2"/>
    <x v="2"/>
    <x v="26"/>
    <x v="1"/>
    <n v="1"/>
    <n v="11500"/>
    <x v="53"/>
  </r>
  <r>
    <x v="62"/>
    <s v="EMP004"/>
    <x v="3"/>
    <x v="3"/>
    <x v="27"/>
    <x v="2"/>
    <n v="2"/>
    <n v="17900"/>
    <x v="31"/>
  </r>
  <r>
    <x v="63"/>
    <s v="EMP005"/>
    <x v="4"/>
    <x v="4"/>
    <x v="28"/>
    <x v="3"/>
    <n v="3"/>
    <n v="8900"/>
    <x v="28"/>
  </r>
  <r>
    <x v="64"/>
    <s v="EMP006"/>
    <x v="5"/>
    <x v="5"/>
    <x v="29"/>
    <x v="4"/>
    <n v="3"/>
    <n v="14900"/>
    <x v="57"/>
  </r>
  <r>
    <x v="65"/>
    <s v="EMP007"/>
    <x v="6"/>
    <x v="0"/>
    <x v="30"/>
    <x v="0"/>
    <n v="8"/>
    <n v="32200"/>
    <x v="58"/>
  </r>
  <r>
    <x v="66"/>
    <s v="EMP008"/>
    <x v="7"/>
    <x v="1"/>
    <x v="31"/>
    <x v="1"/>
    <n v="1"/>
    <n v="12000"/>
    <x v="1"/>
  </r>
  <r>
    <x v="67"/>
    <s v="EMP001"/>
    <x v="0"/>
    <x v="2"/>
    <x v="8"/>
    <x v="2"/>
    <n v="2"/>
    <n v="17900"/>
    <x v="31"/>
  </r>
  <r>
    <x v="68"/>
    <s v="EMP002"/>
    <x v="1"/>
    <x v="3"/>
    <x v="3"/>
    <x v="3"/>
    <n v="3"/>
    <n v="9100"/>
    <x v="32"/>
  </r>
  <r>
    <x v="69"/>
    <s v="EMP003"/>
    <x v="2"/>
    <x v="4"/>
    <x v="4"/>
    <x v="4"/>
    <n v="2"/>
    <n v="15100"/>
    <x v="59"/>
  </r>
  <r>
    <x v="70"/>
    <s v="EMP004"/>
    <x v="3"/>
    <x v="5"/>
    <x v="5"/>
    <x v="0"/>
    <n v="9"/>
    <n v="31900"/>
    <x v="60"/>
  </r>
  <r>
    <x v="71"/>
    <s v="EMP005"/>
    <x v="4"/>
    <x v="0"/>
    <x v="6"/>
    <x v="1"/>
    <n v="2"/>
    <n v="11700"/>
    <x v="21"/>
  </r>
  <r>
    <x v="72"/>
    <s v="EMP006"/>
    <x v="5"/>
    <x v="1"/>
    <x v="7"/>
    <x v="2"/>
    <n v="1"/>
    <n v="17600"/>
    <x v="36"/>
  </r>
  <r>
    <x v="73"/>
    <s v="EMP007"/>
    <x v="6"/>
    <x v="2"/>
    <x v="2"/>
    <x v="3"/>
    <n v="2"/>
    <n v="8800"/>
    <x v="36"/>
  </r>
  <r>
    <x v="74"/>
    <s v="EMP008"/>
    <x v="7"/>
    <x v="3"/>
    <x v="9"/>
    <x v="4"/>
    <n v="3"/>
    <n v="14900"/>
    <x v="57"/>
  </r>
  <r>
    <x v="75"/>
    <s v="EMP001"/>
    <x v="0"/>
    <x v="4"/>
    <x v="10"/>
    <x v="0"/>
    <n v="2"/>
    <n v="32800"/>
    <x v="61"/>
  </r>
  <r>
    <x v="76"/>
    <s v="EMP002"/>
    <x v="1"/>
    <x v="5"/>
    <x v="11"/>
    <x v="1"/>
    <n v="1"/>
    <n v="11800"/>
    <x v="11"/>
  </r>
  <r>
    <x v="77"/>
    <s v="EMP003"/>
    <x v="2"/>
    <x v="0"/>
    <x v="12"/>
    <x v="2"/>
    <n v="2"/>
    <n v="18300"/>
    <x v="39"/>
  </r>
  <r>
    <x v="78"/>
    <s v="EMP004"/>
    <x v="3"/>
    <x v="1"/>
    <x v="13"/>
    <x v="3"/>
    <n v="1"/>
    <n v="8700"/>
    <x v="40"/>
  </r>
  <r>
    <x v="79"/>
    <s v="EMP005"/>
    <x v="4"/>
    <x v="2"/>
    <x v="14"/>
    <x v="4"/>
    <n v="2"/>
    <n v="15200"/>
    <x v="41"/>
  </r>
  <r>
    <x v="80"/>
    <s v="EMP006"/>
    <x v="5"/>
    <x v="3"/>
    <x v="15"/>
    <x v="0"/>
    <n v="4"/>
    <n v="31600"/>
    <x v="42"/>
  </r>
  <r>
    <x v="81"/>
    <s v="EMP007"/>
    <x v="6"/>
    <x v="4"/>
    <x v="16"/>
    <x v="1"/>
    <n v="1"/>
    <n v="11900"/>
    <x v="43"/>
  </r>
  <r>
    <x v="82"/>
    <s v="EMP008"/>
    <x v="7"/>
    <x v="5"/>
    <x v="17"/>
    <x v="2"/>
    <n v="1"/>
    <n v="18100"/>
    <x v="44"/>
  </r>
  <r>
    <x v="83"/>
    <s v="EMP001"/>
    <x v="0"/>
    <x v="0"/>
    <x v="18"/>
    <x v="3"/>
    <n v="3"/>
    <n v="8600"/>
    <x v="45"/>
  </r>
  <r>
    <x v="84"/>
    <s v="EMP002"/>
    <x v="1"/>
    <x v="1"/>
    <x v="19"/>
    <x v="4"/>
    <n v="1"/>
    <n v="14700"/>
    <x v="62"/>
  </r>
  <r>
    <x v="85"/>
    <s v="EMP003"/>
    <x v="2"/>
    <x v="2"/>
    <x v="20"/>
    <x v="0"/>
    <n v="2"/>
    <n v="33100"/>
    <x v="63"/>
  </r>
  <r>
    <x v="86"/>
    <s v="EMP004"/>
    <x v="3"/>
    <x v="3"/>
    <x v="21"/>
    <x v="1"/>
    <n v="2"/>
    <n v="11600"/>
    <x v="48"/>
  </r>
  <r>
    <x v="87"/>
    <s v="EMP005"/>
    <x v="4"/>
    <x v="4"/>
    <x v="22"/>
    <x v="2"/>
    <n v="3"/>
    <n v="17700"/>
    <x v="49"/>
  </r>
  <r>
    <x v="88"/>
    <s v="EMP006"/>
    <x v="5"/>
    <x v="5"/>
    <x v="23"/>
    <x v="3"/>
    <n v="2"/>
    <n v="8500"/>
    <x v="64"/>
  </r>
  <r>
    <x v="89"/>
    <s v="EMP007"/>
    <x v="6"/>
    <x v="0"/>
    <x v="24"/>
    <x v="4"/>
    <n v="2"/>
    <n v="15000"/>
    <x v="51"/>
  </r>
  <r>
    <x v="90"/>
    <s v="EMP008"/>
    <x v="7"/>
    <x v="1"/>
    <x v="25"/>
    <x v="0"/>
    <n v="4"/>
    <n v="31700"/>
    <x v="52"/>
  </r>
  <r>
    <x v="91"/>
    <s v="EMP001"/>
    <x v="0"/>
    <x v="2"/>
    <x v="26"/>
    <x v="1"/>
    <n v="1"/>
    <n v="11500"/>
    <x v="53"/>
  </r>
  <r>
    <x v="92"/>
    <s v="EMP002"/>
    <x v="1"/>
    <x v="3"/>
    <x v="27"/>
    <x v="2"/>
    <n v="2"/>
    <n v="17900"/>
    <x v="31"/>
  </r>
  <r>
    <x v="93"/>
    <s v="EMP003"/>
    <x v="2"/>
    <x v="4"/>
    <x v="28"/>
    <x v="3"/>
    <n v="3"/>
    <n v="8900"/>
    <x v="28"/>
  </r>
  <r>
    <x v="94"/>
    <s v="EMP004"/>
    <x v="3"/>
    <x v="5"/>
    <x v="29"/>
    <x v="4"/>
    <n v="1"/>
    <n v="14900"/>
    <x v="65"/>
  </r>
  <r>
    <x v="95"/>
    <s v="EMP005"/>
    <x v="4"/>
    <x v="0"/>
    <x v="30"/>
    <x v="0"/>
    <n v="6"/>
    <n v="32200"/>
    <x v="66"/>
  </r>
  <r>
    <x v="96"/>
    <s v="EMP006"/>
    <x v="5"/>
    <x v="1"/>
    <x v="31"/>
    <x v="1"/>
    <n v="1"/>
    <n v="12000"/>
    <x v="1"/>
  </r>
  <r>
    <x v="97"/>
    <s v="EMP007"/>
    <x v="6"/>
    <x v="2"/>
    <x v="8"/>
    <x v="2"/>
    <n v="2"/>
    <n v="17900"/>
    <x v="31"/>
  </r>
  <r>
    <x v="98"/>
    <s v="EMP008"/>
    <x v="7"/>
    <x v="3"/>
    <x v="3"/>
    <x v="3"/>
    <n v="3"/>
    <n v="9100"/>
    <x v="32"/>
  </r>
  <r>
    <x v="99"/>
    <s v="EMP001"/>
    <x v="0"/>
    <x v="4"/>
    <x v="4"/>
    <x v="4"/>
    <n v="1"/>
    <n v="15100"/>
    <x v="67"/>
  </r>
  <r>
    <x v="100"/>
    <s v="EMP002"/>
    <x v="1"/>
    <x v="5"/>
    <x v="5"/>
    <x v="0"/>
    <n v="2"/>
    <n v="31900"/>
    <x v="68"/>
  </r>
  <r>
    <x v="101"/>
    <s v="EMP003"/>
    <x v="2"/>
    <x v="0"/>
    <x v="6"/>
    <x v="1"/>
    <n v="2"/>
    <n v="11700"/>
    <x v="21"/>
  </r>
  <r>
    <x v="102"/>
    <s v="EMP004"/>
    <x v="3"/>
    <x v="1"/>
    <x v="7"/>
    <x v="2"/>
    <n v="1"/>
    <n v="17600"/>
    <x v="36"/>
  </r>
  <r>
    <x v="103"/>
    <s v="EMP005"/>
    <x v="4"/>
    <x v="2"/>
    <x v="2"/>
    <x v="3"/>
    <n v="2"/>
    <n v="8800"/>
    <x v="36"/>
  </r>
  <r>
    <x v="104"/>
    <s v="EMP006"/>
    <x v="5"/>
    <x v="3"/>
    <x v="9"/>
    <x v="4"/>
    <n v="3"/>
    <n v="14900"/>
    <x v="57"/>
  </r>
  <r>
    <x v="105"/>
    <s v="EMP007"/>
    <x v="6"/>
    <x v="4"/>
    <x v="10"/>
    <x v="0"/>
    <n v="1"/>
    <n v="32800"/>
    <x v="38"/>
  </r>
  <r>
    <x v="106"/>
    <s v="EMP008"/>
    <x v="7"/>
    <x v="5"/>
    <x v="11"/>
    <x v="1"/>
    <n v="1"/>
    <n v="11800"/>
    <x v="11"/>
  </r>
  <r>
    <x v="107"/>
    <s v="EMP001"/>
    <x v="0"/>
    <x v="0"/>
    <x v="12"/>
    <x v="2"/>
    <n v="2"/>
    <n v="18300"/>
    <x v="39"/>
  </r>
  <r>
    <x v="108"/>
    <s v="EMP002"/>
    <x v="1"/>
    <x v="1"/>
    <x v="13"/>
    <x v="3"/>
    <n v="1"/>
    <n v="8700"/>
    <x v="40"/>
  </r>
  <r>
    <x v="109"/>
    <s v="EMP003"/>
    <x v="2"/>
    <x v="2"/>
    <x v="14"/>
    <x v="4"/>
    <n v="2"/>
    <n v="15200"/>
    <x v="41"/>
  </r>
  <r>
    <x v="110"/>
    <s v="EMP004"/>
    <x v="3"/>
    <x v="3"/>
    <x v="15"/>
    <x v="0"/>
    <n v="2"/>
    <n v="31600"/>
    <x v="69"/>
  </r>
  <r>
    <x v="111"/>
    <s v="EMP005"/>
    <x v="4"/>
    <x v="4"/>
    <x v="16"/>
    <x v="1"/>
    <n v="1"/>
    <n v="11900"/>
    <x v="43"/>
  </r>
  <r>
    <x v="112"/>
    <s v="EMP006"/>
    <x v="5"/>
    <x v="5"/>
    <x v="17"/>
    <x v="2"/>
    <n v="1"/>
    <n v="18100"/>
    <x v="44"/>
  </r>
  <r>
    <x v="113"/>
    <s v="EMP007"/>
    <x v="6"/>
    <x v="0"/>
    <x v="18"/>
    <x v="3"/>
    <n v="3"/>
    <n v="8600"/>
    <x v="45"/>
  </r>
  <r>
    <x v="114"/>
    <s v="EMP008"/>
    <x v="7"/>
    <x v="1"/>
    <x v="19"/>
    <x v="4"/>
    <n v="1"/>
    <n v="14700"/>
    <x v="62"/>
  </r>
  <r>
    <x v="115"/>
    <s v="EMP001"/>
    <x v="0"/>
    <x v="2"/>
    <x v="20"/>
    <x v="0"/>
    <n v="2"/>
    <n v="33100"/>
    <x v="63"/>
  </r>
  <r>
    <x v="116"/>
    <s v="EMP002"/>
    <x v="1"/>
    <x v="3"/>
    <x v="21"/>
    <x v="1"/>
    <n v="2"/>
    <n v="11600"/>
    <x v="48"/>
  </r>
  <r>
    <x v="117"/>
    <s v="EMP003"/>
    <x v="2"/>
    <x v="4"/>
    <x v="22"/>
    <x v="2"/>
    <n v="3"/>
    <n v="17700"/>
    <x v="49"/>
  </r>
  <r>
    <x v="118"/>
    <s v="EMP004"/>
    <x v="3"/>
    <x v="5"/>
    <x v="23"/>
    <x v="3"/>
    <n v="1"/>
    <n v="8500"/>
    <x v="50"/>
  </r>
  <r>
    <x v="119"/>
    <s v="EMP005"/>
    <x v="4"/>
    <x v="0"/>
    <x v="24"/>
    <x v="4"/>
    <n v="2"/>
    <n v="15000"/>
    <x v="51"/>
  </r>
  <r>
    <x v="120"/>
    <s v="EMP006"/>
    <x v="5"/>
    <x v="1"/>
    <x v="25"/>
    <x v="0"/>
    <n v="1"/>
    <n v="31700"/>
    <x v="70"/>
  </r>
  <r>
    <x v="121"/>
    <s v="EMP007"/>
    <x v="6"/>
    <x v="2"/>
    <x v="26"/>
    <x v="2"/>
    <n v="1"/>
    <n v="18100"/>
    <x v="44"/>
  </r>
  <r>
    <x v="121"/>
    <s v="EMP004"/>
    <x v="3"/>
    <x v="3"/>
    <x v="15"/>
    <x v="3"/>
    <n v="2"/>
    <n v="8700"/>
    <x v="18"/>
  </r>
  <r>
    <x v="122"/>
    <s v="EMP007"/>
    <x v="6"/>
    <x v="2"/>
    <x v="26"/>
    <x v="1"/>
    <n v="1"/>
    <n v="11500"/>
    <x v="53"/>
  </r>
  <r>
    <x v="122"/>
    <s v="EMP003"/>
    <x v="2"/>
    <x v="2"/>
    <x v="14"/>
    <x v="4"/>
    <n v="2"/>
    <n v="15200"/>
    <x v="41"/>
  </r>
  <r>
    <x v="122"/>
    <s v="EMP004"/>
    <x v="3"/>
    <x v="3"/>
    <x v="15"/>
    <x v="0"/>
    <n v="1"/>
    <n v="31500"/>
    <x v="71"/>
  </r>
  <r>
    <x v="123"/>
    <s v="EMP005"/>
    <x v="4"/>
    <x v="4"/>
    <x v="16"/>
    <x v="1"/>
    <n v="1"/>
    <n v="11900"/>
    <x v="43"/>
  </r>
  <r>
    <x v="124"/>
    <s v="EMP006"/>
    <x v="5"/>
    <x v="5"/>
    <x v="17"/>
    <x v="2"/>
    <n v="1"/>
    <n v="18100"/>
    <x v="44"/>
  </r>
  <r>
    <x v="125"/>
    <s v="EMP007"/>
    <x v="6"/>
    <x v="0"/>
    <x v="18"/>
    <x v="3"/>
    <n v="2"/>
    <n v="8700"/>
    <x v="18"/>
  </r>
  <r>
    <x v="126"/>
    <s v="EMP008"/>
    <x v="7"/>
    <x v="1"/>
    <x v="19"/>
    <x v="4"/>
    <n v="1"/>
    <n v="14800"/>
    <x v="19"/>
  </r>
  <r>
    <x v="127"/>
    <s v="EMP001"/>
    <x v="0"/>
    <x v="2"/>
    <x v="20"/>
    <x v="0"/>
    <n v="1"/>
    <n v="33100"/>
    <x v="72"/>
  </r>
  <r>
    <x v="128"/>
    <s v="EMP002"/>
    <x v="1"/>
    <x v="3"/>
    <x v="21"/>
    <x v="1"/>
    <n v="2"/>
    <n v="11600"/>
    <x v="48"/>
  </r>
  <r>
    <x v="129"/>
    <s v="EMP003"/>
    <x v="2"/>
    <x v="4"/>
    <x v="22"/>
    <x v="2"/>
    <n v="3"/>
    <n v="17700"/>
    <x v="49"/>
  </r>
  <r>
    <x v="130"/>
    <s v="EMP004"/>
    <x v="3"/>
    <x v="5"/>
    <x v="23"/>
    <x v="3"/>
    <n v="1"/>
    <n v="8500"/>
    <x v="50"/>
  </r>
  <r>
    <x v="131"/>
    <s v="EMP005"/>
    <x v="4"/>
    <x v="0"/>
    <x v="24"/>
    <x v="4"/>
    <n v="2"/>
    <n v="15000"/>
    <x v="51"/>
  </r>
  <r>
    <x v="132"/>
    <s v="EMP006"/>
    <x v="5"/>
    <x v="1"/>
    <x v="25"/>
    <x v="0"/>
    <n v="2"/>
    <n v="31700"/>
    <x v="73"/>
  </r>
  <r>
    <x v="133"/>
    <s v="EMP007"/>
    <x v="6"/>
    <x v="2"/>
    <x v="26"/>
    <x v="1"/>
    <n v="1"/>
    <n v="11500"/>
    <x v="53"/>
  </r>
  <r>
    <x v="134"/>
    <s v="EMP008"/>
    <x v="7"/>
    <x v="3"/>
    <x v="27"/>
    <x v="2"/>
    <n v="2"/>
    <n v="17900"/>
    <x v="31"/>
  </r>
  <r>
    <x v="135"/>
    <s v="EMP001"/>
    <x v="0"/>
    <x v="4"/>
    <x v="28"/>
    <x v="3"/>
    <n v="3"/>
    <n v="8900"/>
    <x v="28"/>
  </r>
  <r>
    <x v="136"/>
    <s v="EMP002"/>
    <x v="1"/>
    <x v="5"/>
    <x v="29"/>
    <x v="4"/>
    <n v="1"/>
    <n v="14900"/>
    <x v="65"/>
  </r>
  <r>
    <x v="137"/>
    <s v="EMP003"/>
    <x v="2"/>
    <x v="0"/>
    <x v="30"/>
    <x v="0"/>
    <n v="2"/>
    <n v="32200"/>
    <x v="30"/>
  </r>
  <r>
    <x v="138"/>
    <s v="EMP004"/>
    <x v="3"/>
    <x v="1"/>
    <x v="31"/>
    <x v="1"/>
    <n v="1"/>
    <n v="12000"/>
    <x v="1"/>
  </r>
  <r>
    <x v="139"/>
    <s v="EMP005"/>
    <x v="4"/>
    <x v="2"/>
    <x v="8"/>
    <x v="2"/>
    <n v="2"/>
    <n v="17900"/>
    <x v="31"/>
  </r>
  <r>
    <x v="140"/>
    <s v="EMP006"/>
    <x v="5"/>
    <x v="3"/>
    <x v="3"/>
    <x v="3"/>
    <n v="3"/>
    <n v="9100"/>
    <x v="32"/>
  </r>
  <r>
    <x v="141"/>
    <s v="EMP007"/>
    <x v="6"/>
    <x v="4"/>
    <x v="4"/>
    <x v="4"/>
    <n v="1"/>
    <n v="15100"/>
    <x v="67"/>
  </r>
  <r>
    <x v="142"/>
    <s v="EMP008"/>
    <x v="7"/>
    <x v="5"/>
    <x v="5"/>
    <x v="0"/>
    <n v="1"/>
    <n v="31900"/>
    <x v="74"/>
  </r>
  <r>
    <x v="143"/>
    <s v="EMP001"/>
    <x v="0"/>
    <x v="0"/>
    <x v="6"/>
    <x v="1"/>
    <n v="2"/>
    <n v="11700"/>
    <x v="21"/>
  </r>
  <r>
    <x v="144"/>
    <s v="EMP002"/>
    <x v="1"/>
    <x v="1"/>
    <x v="7"/>
    <x v="2"/>
    <n v="1"/>
    <n v="17600"/>
    <x v="36"/>
  </r>
  <r>
    <x v="145"/>
    <s v="EMP003"/>
    <x v="2"/>
    <x v="2"/>
    <x v="2"/>
    <x v="3"/>
    <n v="4"/>
    <n v="8800"/>
    <x v="35"/>
  </r>
  <r>
    <x v="146"/>
    <s v="EMP004"/>
    <x v="3"/>
    <x v="3"/>
    <x v="9"/>
    <x v="4"/>
    <n v="3"/>
    <n v="14900"/>
    <x v="57"/>
  </r>
  <r>
    <x v="147"/>
    <s v="EMP005"/>
    <x v="4"/>
    <x v="4"/>
    <x v="10"/>
    <x v="0"/>
    <n v="1"/>
    <n v="32800"/>
    <x v="38"/>
  </r>
  <r>
    <x v="148"/>
    <s v="EMP006"/>
    <x v="5"/>
    <x v="5"/>
    <x v="11"/>
    <x v="1"/>
    <n v="1"/>
    <n v="11800"/>
    <x v="11"/>
  </r>
  <r>
    <x v="149"/>
    <s v="EMP007"/>
    <x v="6"/>
    <x v="0"/>
    <x v="12"/>
    <x v="2"/>
    <n v="2"/>
    <n v="18300"/>
    <x v="39"/>
  </r>
  <r>
    <x v="150"/>
    <s v="EMP008"/>
    <x v="7"/>
    <x v="1"/>
    <x v="13"/>
    <x v="3"/>
    <n v="1"/>
    <n v="8700"/>
    <x v="40"/>
  </r>
  <r>
    <x v="151"/>
    <s v="EMP001"/>
    <x v="0"/>
    <x v="2"/>
    <x v="14"/>
    <x v="4"/>
    <n v="2"/>
    <n v="15200"/>
    <x v="41"/>
  </r>
  <r>
    <x v="152"/>
    <s v="EMP002"/>
    <x v="1"/>
    <x v="3"/>
    <x v="15"/>
    <x v="0"/>
    <n v="2"/>
    <n v="31600"/>
    <x v="69"/>
  </r>
  <r>
    <x v="153"/>
    <s v="EMP003"/>
    <x v="2"/>
    <x v="4"/>
    <x v="16"/>
    <x v="1"/>
    <n v="1"/>
    <n v="11900"/>
    <x v="43"/>
  </r>
  <r>
    <x v="154"/>
    <s v="EMP004"/>
    <x v="3"/>
    <x v="5"/>
    <x v="17"/>
    <x v="2"/>
    <n v="1"/>
    <n v="18100"/>
    <x v="44"/>
  </r>
  <r>
    <x v="155"/>
    <s v="EMP005"/>
    <x v="4"/>
    <x v="0"/>
    <x v="18"/>
    <x v="3"/>
    <n v="3"/>
    <n v="8600"/>
    <x v="45"/>
  </r>
  <r>
    <x v="156"/>
    <s v="EMP006"/>
    <x v="5"/>
    <x v="1"/>
    <x v="19"/>
    <x v="4"/>
    <n v="1"/>
    <n v="14700"/>
    <x v="62"/>
  </r>
  <r>
    <x v="157"/>
    <s v="EMP007"/>
    <x v="6"/>
    <x v="2"/>
    <x v="20"/>
    <x v="0"/>
    <n v="1"/>
    <n v="33100"/>
    <x v="72"/>
  </r>
  <r>
    <x v="158"/>
    <s v="EMP008"/>
    <x v="7"/>
    <x v="3"/>
    <x v="21"/>
    <x v="1"/>
    <n v="2"/>
    <n v="11600"/>
    <x v="48"/>
  </r>
  <r>
    <x v="159"/>
    <s v="EMP001"/>
    <x v="0"/>
    <x v="4"/>
    <x v="22"/>
    <x v="2"/>
    <n v="3"/>
    <n v="17700"/>
    <x v="49"/>
  </r>
  <r>
    <x v="160"/>
    <s v="EMP002"/>
    <x v="1"/>
    <x v="5"/>
    <x v="23"/>
    <x v="3"/>
    <n v="1"/>
    <n v="8500"/>
    <x v="50"/>
  </r>
  <r>
    <x v="161"/>
    <s v="EMP003"/>
    <x v="2"/>
    <x v="0"/>
    <x v="24"/>
    <x v="4"/>
    <n v="2"/>
    <n v="15000"/>
    <x v="51"/>
  </r>
  <r>
    <x v="162"/>
    <s v="EMP004"/>
    <x v="3"/>
    <x v="1"/>
    <x v="25"/>
    <x v="0"/>
    <n v="1"/>
    <n v="31700"/>
    <x v="70"/>
  </r>
  <r>
    <x v="163"/>
    <s v="EMP005"/>
    <x v="4"/>
    <x v="2"/>
    <x v="26"/>
    <x v="1"/>
    <n v="1"/>
    <n v="11500"/>
    <x v="53"/>
  </r>
  <r>
    <x v="164"/>
    <s v="EMP006"/>
    <x v="5"/>
    <x v="3"/>
    <x v="27"/>
    <x v="2"/>
    <n v="2"/>
    <n v="17900"/>
    <x v="31"/>
  </r>
  <r>
    <x v="165"/>
    <s v="EMP007"/>
    <x v="6"/>
    <x v="4"/>
    <x v="28"/>
    <x v="3"/>
    <n v="3"/>
    <n v="8900"/>
    <x v="28"/>
  </r>
  <r>
    <x v="166"/>
    <s v="EMP008"/>
    <x v="7"/>
    <x v="5"/>
    <x v="29"/>
    <x v="4"/>
    <n v="1"/>
    <n v="14900"/>
    <x v="65"/>
  </r>
  <r>
    <x v="167"/>
    <s v="EMP001"/>
    <x v="0"/>
    <x v="0"/>
    <x v="30"/>
    <x v="0"/>
    <n v="2"/>
    <n v="32200"/>
    <x v="30"/>
  </r>
  <r>
    <x v="168"/>
    <s v="EMP002"/>
    <x v="1"/>
    <x v="1"/>
    <x v="31"/>
    <x v="1"/>
    <n v="1"/>
    <n v="12000"/>
    <x v="1"/>
  </r>
  <r>
    <x v="169"/>
    <s v="EMP003"/>
    <x v="2"/>
    <x v="2"/>
    <x v="8"/>
    <x v="2"/>
    <n v="2"/>
    <n v="17900"/>
    <x v="31"/>
  </r>
  <r>
    <x v="170"/>
    <s v="EMP004"/>
    <x v="3"/>
    <x v="3"/>
    <x v="3"/>
    <x v="3"/>
    <n v="3"/>
    <n v="9100"/>
    <x v="32"/>
  </r>
  <r>
    <x v="171"/>
    <s v="EMP005"/>
    <x v="4"/>
    <x v="4"/>
    <x v="4"/>
    <x v="4"/>
    <n v="1"/>
    <n v="15100"/>
    <x v="67"/>
  </r>
  <r>
    <x v="172"/>
    <s v="EMP006"/>
    <x v="5"/>
    <x v="5"/>
    <x v="5"/>
    <x v="0"/>
    <n v="1"/>
    <n v="31900"/>
    <x v="74"/>
  </r>
  <r>
    <x v="173"/>
    <s v="EMP007"/>
    <x v="6"/>
    <x v="0"/>
    <x v="6"/>
    <x v="1"/>
    <n v="2"/>
    <n v="11700"/>
    <x v="21"/>
  </r>
  <r>
    <x v="174"/>
    <s v="EMP008"/>
    <x v="7"/>
    <x v="1"/>
    <x v="7"/>
    <x v="2"/>
    <n v="1"/>
    <n v="17600"/>
    <x v="36"/>
  </r>
  <r>
    <x v="175"/>
    <s v="EMP001"/>
    <x v="0"/>
    <x v="2"/>
    <x v="2"/>
    <x v="3"/>
    <n v="2"/>
    <n v="8800"/>
    <x v="36"/>
  </r>
  <r>
    <x v="176"/>
    <s v="EMP002"/>
    <x v="1"/>
    <x v="3"/>
    <x v="9"/>
    <x v="4"/>
    <n v="3"/>
    <n v="14900"/>
    <x v="57"/>
  </r>
  <r>
    <x v="177"/>
    <s v="EMP003"/>
    <x v="2"/>
    <x v="4"/>
    <x v="10"/>
    <x v="0"/>
    <n v="1"/>
    <n v="32800"/>
    <x v="38"/>
  </r>
  <r>
    <x v="178"/>
    <s v="EMP004"/>
    <x v="3"/>
    <x v="5"/>
    <x v="11"/>
    <x v="1"/>
    <n v="1"/>
    <n v="11800"/>
    <x v="11"/>
  </r>
  <r>
    <x v="179"/>
    <s v="EMP005"/>
    <x v="4"/>
    <x v="0"/>
    <x v="12"/>
    <x v="2"/>
    <n v="2"/>
    <n v="18300"/>
    <x v="39"/>
  </r>
  <r>
    <x v="180"/>
    <s v="EMP006"/>
    <x v="5"/>
    <x v="1"/>
    <x v="13"/>
    <x v="3"/>
    <n v="1"/>
    <n v="8700"/>
    <x v="40"/>
  </r>
  <r>
    <x v="181"/>
    <s v="EMP007"/>
    <x v="6"/>
    <x v="2"/>
    <x v="14"/>
    <x v="4"/>
    <n v="2"/>
    <n v="15200"/>
    <x v="41"/>
  </r>
  <r>
    <x v="182"/>
    <s v="EMP008"/>
    <x v="7"/>
    <x v="3"/>
    <x v="15"/>
    <x v="0"/>
    <n v="2"/>
    <n v="31600"/>
    <x v="69"/>
  </r>
  <r>
    <x v="182"/>
    <s v="EMP001"/>
    <x v="0"/>
    <x v="0"/>
    <x v="24"/>
    <x v="4"/>
    <n v="2"/>
    <n v="15000"/>
    <x v="51"/>
  </r>
  <r>
    <x v="182"/>
    <s v="EMP002"/>
    <x v="1"/>
    <x v="0"/>
    <x v="18"/>
    <x v="4"/>
    <n v="3"/>
    <n v="14900"/>
    <x v="57"/>
  </r>
  <r>
    <x v="183"/>
    <s v="EMP006"/>
    <x v="5"/>
    <x v="1"/>
    <x v="13"/>
    <x v="3"/>
    <n v="1"/>
    <n v="8700"/>
    <x v="40"/>
  </r>
  <r>
    <x v="183"/>
    <s v="EMP001"/>
    <x v="0"/>
    <x v="4"/>
    <x v="16"/>
    <x v="1"/>
    <n v="1"/>
    <n v="11900"/>
    <x v="43"/>
  </r>
  <r>
    <x v="184"/>
    <s v="EMP002"/>
    <x v="1"/>
    <x v="5"/>
    <x v="17"/>
    <x v="2"/>
    <n v="1"/>
    <n v="18100"/>
    <x v="44"/>
  </r>
  <r>
    <x v="185"/>
    <s v="EMP003"/>
    <x v="2"/>
    <x v="0"/>
    <x v="18"/>
    <x v="3"/>
    <n v="2"/>
    <n v="8700"/>
    <x v="18"/>
  </r>
  <r>
    <x v="186"/>
    <s v="EMP004"/>
    <x v="3"/>
    <x v="1"/>
    <x v="19"/>
    <x v="4"/>
    <n v="1"/>
    <n v="14800"/>
    <x v="19"/>
  </r>
  <r>
    <x v="187"/>
    <s v="EMP005"/>
    <x v="4"/>
    <x v="2"/>
    <x v="20"/>
    <x v="0"/>
    <n v="1"/>
    <n v="33100"/>
    <x v="72"/>
  </r>
  <r>
    <x v="188"/>
    <s v="EMP006"/>
    <x v="5"/>
    <x v="3"/>
    <x v="21"/>
    <x v="1"/>
    <n v="2"/>
    <n v="11600"/>
    <x v="48"/>
  </r>
  <r>
    <x v="189"/>
    <s v="EMP007"/>
    <x v="6"/>
    <x v="4"/>
    <x v="22"/>
    <x v="2"/>
    <n v="3"/>
    <n v="17700"/>
    <x v="49"/>
  </r>
  <r>
    <x v="190"/>
    <s v="EMP008"/>
    <x v="7"/>
    <x v="5"/>
    <x v="23"/>
    <x v="3"/>
    <n v="1"/>
    <n v="8500"/>
    <x v="50"/>
  </r>
  <r>
    <x v="191"/>
    <s v="EMP001"/>
    <x v="0"/>
    <x v="0"/>
    <x v="24"/>
    <x v="4"/>
    <n v="2"/>
    <n v="15000"/>
    <x v="51"/>
  </r>
  <r>
    <x v="192"/>
    <s v="EMP002"/>
    <x v="1"/>
    <x v="1"/>
    <x v="25"/>
    <x v="0"/>
    <n v="1"/>
    <n v="31700"/>
    <x v="70"/>
  </r>
  <r>
    <x v="193"/>
    <s v="EMP003"/>
    <x v="2"/>
    <x v="2"/>
    <x v="26"/>
    <x v="1"/>
    <n v="1"/>
    <n v="11500"/>
    <x v="53"/>
  </r>
  <r>
    <x v="194"/>
    <s v="EMP004"/>
    <x v="3"/>
    <x v="3"/>
    <x v="27"/>
    <x v="2"/>
    <n v="2"/>
    <n v="17900"/>
    <x v="31"/>
  </r>
  <r>
    <x v="195"/>
    <s v="EMP005"/>
    <x v="4"/>
    <x v="4"/>
    <x v="28"/>
    <x v="3"/>
    <n v="3"/>
    <n v="8900"/>
    <x v="28"/>
  </r>
  <r>
    <x v="196"/>
    <s v="EMP006"/>
    <x v="5"/>
    <x v="5"/>
    <x v="29"/>
    <x v="4"/>
    <n v="1"/>
    <n v="14900"/>
    <x v="65"/>
  </r>
  <r>
    <x v="197"/>
    <s v="EMP007"/>
    <x v="6"/>
    <x v="0"/>
    <x v="30"/>
    <x v="0"/>
    <n v="2"/>
    <n v="32200"/>
    <x v="30"/>
  </r>
  <r>
    <x v="198"/>
    <s v="EMP008"/>
    <x v="7"/>
    <x v="1"/>
    <x v="31"/>
    <x v="1"/>
    <n v="1"/>
    <n v="12000"/>
    <x v="1"/>
  </r>
  <r>
    <x v="199"/>
    <s v="EMP001"/>
    <x v="0"/>
    <x v="2"/>
    <x v="8"/>
    <x v="2"/>
    <n v="2"/>
    <n v="17900"/>
    <x v="31"/>
  </r>
  <r>
    <x v="200"/>
    <s v="EMP002"/>
    <x v="1"/>
    <x v="3"/>
    <x v="3"/>
    <x v="3"/>
    <n v="3"/>
    <n v="9100"/>
    <x v="32"/>
  </r>
  <r>
    <x v="201"/>
    <s v="EMP003"/>
    <x v="2"/>
    <x v="4"/>
    <x v="4"/>
    <x v="4"/>
    <n v="1"/>
    <n v="15100"/>
    <x v="67"/>
  </r>
  <r>
    <x v="202"/>
    <s v="EMP004"/>
    <x v="3"/>
    <x v="5"/>
    <x v="5"/>
    <x v="0"/>
    <n v="1"/>
    <n v="31900"/>
    <x v="74"/>
  </r>
  <r>
    <x v="203"/>
    <s v="EMP005"/>
    <x v="4"/>
    <x v="0"/>
    <x v="6"/>
    <x v="1"/>
    <n v="2"/>
    <n v="11700"/>
    <x v="21"/>
  </r>
  <r>
    <x v="204"/>
    <s v="EMP006"/>
    <x v="5"/>
    <x v="1"/>
    <x v="7"/>
    <x v="2"/>
    <n v="1"/>
    <n v="17600"/>
    <x v="36"/>
  </r>
  <r>
    <x v="205"/>
    <s v="EMP007"/>
    <x v="6"/>
    <x v="2"/>
    <x v="2"/>
    <x v="3"/>
    <n v="2"/>
    <n v="8800"/>
    <x v="36"/>
  </r>
  <r>
    <x v="206"/>
    <s v="EMP008"/>
    <x v="7"/>
    <x v="3"/>
    <x v="9"/>
    <x v="4"/>
    <n v="3"/>
    <n v="14900"/>
    <x v="57"/>
  </r>
  <r>
    <x v="207"/>
    <s v="EMP001"/>
    <x v="0"/>
    <x v="4"/>
    <x v="10"/>
    <x v="0"/>
    <n v="1"/>
    <n v="32800"/>
    <x v="38"/>
  </r>
  <r>
    <x v="208"/>
    <s v="EMP002"/>
    <x v="1"/>
    <x v="5"/>
    <x v="11"/>
    <x v="1"/>
    <n v="1"/>
    <n v="11800"/>
    <x v="11"/>
  </r>
  <r>
    <x v="209"/>
    <s v="EMP003"/>
    <x v="2"/>
    <x v="0"/>
    <x v="12"/>
    <x v="2"/>
    <n v="2"/>
    <n v="18300"/>
    <x v="39"/>
  </r>
  <r>
    <x v="210"/>
    <s v="EMP004"/>
    <x v="3"/>
    <x v="1"/>
    <x v="13"/>
    <x v="3"/>
    <n v="1"/>
    <n v="8700"/>
    <x v="40"/>
  </r>
  <r>
    <x v="211"/>
    <s v="EMP005"/>
    <x v="4"/>
    <x v="2"/>
    <x v="14"/>
    <x v="4"/>
    <n v="2"/>
    <n v="15200"/>
    <x v="41"/>
  </r>
  <r>
    <x v="212"/>
    <s v="EMP006"/>
    <x v="5"/>
    <x v="3"/>
    <x v="15"/>
    <x v="0"/>
    <n v="2"/>
    <n v="31600"/>
    <x v="69"/>
  </r>
  <r>
    <x v="213"/>
    <s v="EMP007"/>
    <x v="6"/>
    <x v="4"/>
    <x v="16"/>
    <x v="1"/>
    <n v="1"/>
    <n v="11900"/>
    <x v="43"/>
  </r>
  <r>
    <x v="214"/>
    <s v="EMP008"/>
    <x v="7"/>
    <x v="5"/>
    <x v="17"/>
    <x v="2"/>
    <n v="1"/>
    <n v="18100"/>
    <x v="44"/>
  </r>
  <r>
    <x v="215"/>
    <s v="EMP001"/>
    <x v="0"/>
    <x v="0"/>
    <x v="18"/>
    <x v="3"/>
    <n v="3"/>
    <n v="8600"/>
    <x v="45"/>
  </r>
  <r>
    <x v="216"/>
    <s v="EMP002"/>
    <x v="1"/>
    <x v="1"/>
    <x v="19"/>
    <x v="4"/>
    <n v="1"/>
    <n v="14700"/>
    <x v="62"/>
  </r>
  <r>
    <x v="217"/>
    <s v="EMP003"/>
    <x v="2"/>
    <x v="2"/>
    <x v="20"/>
    <x v="0"/>
    <n v="1"/>
    <n v="33100"/>
    <x v="72"/>
  </r>
  <r>
    <x v="218"/>
    <s v="EMP004"/>
    <x v="3"/>
    <x v="3"/>
    <x v="21"/>
    <x v="1"/>
    <n v="2"/>
    <n v="11600"/>
    <x v="48"/>
  </r>
  <r>
    <x v="219"/>
    <s v="EMP005"/>
    <x v="4"/>
    <x v="4"/>
    <x v="22"/>
    <x v="2"/>
    <n v="3"/>
    <n v="17700"/>
    <x v="49"/>
  </r>
  <r>
    <x v="220"/>
    <s v="EMP006"/>
    <x v="5"/>
    <x v="5"/>
    <x v="23"/>
    <x v="3"/>
    <n v="1"/>
    <n v="8500"/>
    <x v="50"/>
  </r>
  <r>
    <x v="221"/>
    <s v="EMP007"/>
    <x v="6"/>
    <x v="0"/>
    <x v="24"/>
    <x v="4"/>
    <n v="2"/>
    <n v="15000"/>
    <x v="51"/>
  </r>
  <r>
    <x v="222"/>
    <s v="EMP008"/>
    <x v="7"/>
    <x v="1"/>
    <x v="25"/>
    <x v="0"/>
    <n v="1"/>
    <n v="31700"/>
    <x v="70"/>
  </r>
  <r>
    <x v="223"/>
    <s v="EMP001"/>
    <x v="0"/>
    <x v="2"/>
    <x v="26"/>
    <x v="1"/>
    <n v="1"/>
    <n v="11500"/>
    <x v="53"/>
  </r>
  <r>
    <x v="224"/>
    <s v="EMP002"/>
    <x v="1"/>
    <x v="3"/>
    <x v="27"/>
    <x v="2"/>
    <n v="2"/>
    <n v="17900"/>
    <x v="31"/>
  </r>
  <r>
    <x v="225"/>
    <s v="EMP003"/>
    <x v="2"/>
    <x v="4"/>
    <x v="28"/>
    <x v="3"/>
    <n v="3"/>
    <n v="8900"/>
    <x v="28"/>
  </r>
  <r>
    <x v="226"/>
    <s v="EMP004"/>
    <x v="3"/>
    <x v="5"/>
    <x v="29"/>
    <x v="4"/>
    <n v="1"/>
    <n v="14900"/>
    <x v="65"/>
  </r>
  <r>
    <x v="227"/>
    <s v="EMP005"/>
    <x v="4"/>
    <x v="0"/>
    <x v="30"/>
    <x v="0"/>
    <n v="2"/>
    <n v="32200"/>
    <x v="30"/>
  </r>
  <r>
    <x v="228"/>
    <s v="EMP006"/>
    <x v="5"/>
    <x v="1"/>
    <x v="31"/>
    <x v="1"/>
    <n v="1"/>
    <n v="12000"/>
    <x v="1"/>
  </r>
  <r>
    <x v="229"/>
    <s v="EMP007"/>
    <x v="6"/>
    <x v="2"/>
    <x v="8"/>
    <x v="2"/>
    <n v="2"/>
    <n v="17900"/>
    <x v="31"/>
  </r>
  <r>
    <x v="230"/>
    <s v="EMP008"/>
    <x v="7"/>
    <x v="3"/>
    <x v="3"/>
    <x v="3"/>
    <n v="3"/>
    <n v="9100"/>
    <x v="32"/>
  </r>
  <r>
    <x v="231"/>
    <s v="EMP001"/>
    <x v="0"/>
    <x v="4"/>
    <x v="4"/>
    <x v="4"/>
    <n v="1"/>
    <n v="15100"/>
    <x v="67"/>
  </r>
  <r>
    <x v="232"/>
    <s v="EMP002"/>
    <x v="1"/>
    <x v="5"/>
    <x v="5"/>
    <x v="0"/>
    <n v="1"/>
    <n v="31900"/>
    <x v="74"/>
  </r>
  <r>
    <x v="233"/>
    <s v="EMP003"/>
    <x v="2"/>
    <x v="0"/>
    <x v="6"/>
    <x v="1"/>
    <n v="2"/>
    <n v="11700"/>
    <x v="21"/>
  </r>
  <r>
    <x v="234"/>
    <s v="EMP004"/>
    <x v="3"/>
    <x v="1"/>
    <x v="7"/>
    <x v="2"/>
    <n v="1"/>
    <n v="17600"/>
    <x v="36"/>
  </r>
  <r>
    <x v="235"/>
    <s v="EMP005"/>
    <x v="4"/>
    <x v="2"/>
    <x v="2"/>
    <x v="3"/>
    <n v="2"/>
    <n v="8800"/>
    <x v="36"/>
  </r>
  <r>
    <x v="236"/>
    <s v="EMP006"/>
    <x v="5"/>
    <x v="3"/>
    <x v="9"/>
    <x v="4"/>
    <n v="3"/>
    <n v="14900"/>
    <x v="57"/>
  </r>
  <r>
    <x v="237"/>
    <s v="EMP007"/>
    <x v="6"/>
    <x v="4"/>
    <x v="10"/>
    <x v="0"/>
    <n v="1"/>
    <n v="32800"/>
    <x v="38"/>
  </r>
  <r>
    <x v="238"/>
    <s v="EMP008"/>
    <x v="7"/>
    <x v="5"/>
    <x v="11"/>
    <x v="1"/>
    <n v="1"/>
    <n v="11800"/>
    <x v="11"/>
  </r>
  <r>
    <x v="239"/>
    <s v="EMP001"/>
    <x v="0"/>
    <x v="0"/>
    <x v="12"/>
    <x v="2"/>
    <n v="2"/>
    <n v="18300"/>
    <x v="39"/>
  </r>
  <r>
    <x v="240"/>
    <s v="EMP002"/>
    <x v="1"/>
    <x v="1"/>
    <x v="13"/>
    <x v="3"/>
    <n v="1"/>
    <n v="8700"/>
    <x v="40"/>
  </r>
  <r>
    <x v="241"/>
    <s v="EMP003"/>
    <x v="2"/>
    <x v="2"/>
    <x v="14"/>
    <x v="4"/>
    <n v="2"/>
    <n v="15200"/>
    <x v="41"/>
  </r>
  <r>
    <x v="241"/>
    <s v="EMP007"/>
    <x v="6"/>
    <x v="4"/>
    <x v="10"/>
    <x v="0"/>
    <n v="1"/>
    <n v="32800"/>
    <x v="38"/>
  </r>
  <r>
    <x v="241"/>
    <s v="EMP008"/>
    <x v="7"/>
    <x v="3"/>
    <x v="3"/>
    <x v="3"/>
    <n v="3"/>
    <n v="9100"/>
    <x v="32"/>
  </r>
  <r>
    <x v="242"/>
    <s v="EMP004"/>
    <x v="3"/>
    <x v="0"/>
    <x v="6"/>
    <x v="1"/>
    <n v="2"/>
    <n v="11700"/>
    <x v="21"/>
  </r>
  <r>
    <x v="242"/>
    <s v="EMP004"/>
    <x v="3"/>
    <x v="3"/>
    <x v="15"/>
    <x v="0"/>
    <n v="2"/>
    <n v="31600"/>
    <x v="69"/>
  </r>
  <r>
    <x v="243"/>
    <s v="EMP005"/>
    <x v="4"/>
    <x v="4"/>
    <x v="16"/>
    <x v="1"/>
    <n v="1"/>
    <n v="11900"/>
    <x v="43"/>
  </r>
  <r>
    <x v="244"/>
    <s v="EMP001"/>
    <x v="0"/>
    <x v="2"/>
    <x v="2"/>
    <x v="0"/>
    <n v="1"/>
    <n v="32500"/>
    <x v="75"/>
  </r>
  <r>
    <x v="245"/>
    <s v="EMP002"/>
    <x v="1"/>
    <x v="3"/>
    <x v="3"/>
    <x v="1"/>
    <n v="2"/>
    <n v="11800"/>
    <x v="76"/>
  </r>
  <r>
    <x v="246"/>
    <s v="EMP003"/>
    <x v="2"/>
    <x v="4"/>
    <x v="4"/>
    <x v="2"/>
    <n v="1"/>
    <n v="18200"/>
    <x v="17"/>
  </r>
  <r>
    <x v="247"/>
    <s v="EMP004"/>
    <x v="3"/>
    <x v="5"/>
    <x v="5"/>
    <x v="3"/>
    <n v="3"/>
    <n v="8900"/>
    <x v="28"/>
  </r>
  <r>
    <x v="248"/>
    <s v="EMP005"/>
    <x v="4"/>
    <x v="0"/>
    <x v="6"/>
    <x v="4"/>
    <n v="1"/>
    <n v="15000"/>
    <x v="77"/>
  </r>
  <r>
    <x v="249"/>
    <s v="EMP006"/>
    <x v="5"/>
    <x v="1"/>
    <x v="7"/>
    <x v="0"/>
    <n v="2"/>
    <n v="32000"/>
    <x v="0"/>
  </r>
  <r>
    <x v="250"/>
    <s v="EMP007"/>
    <x v="6"/>
    <x v="2"/>
    <x v="8"/>
    <x v="1"/>
    <n v="1"/>
    <n v="11700"/>
    <x v="78"/>
  </r>
  <r>
    <x v="251"/>
    <s v="EMP008"/>
    <x v="7"/>
    <x v="3"/>
    <x v="15"/>
    <x v="2"/>
    <n v="2"/>
    <n v="18000"/>
    <x v="27"/>
  </r>
  <r>
    <x v="252"/>
    <s v="EMP001"/>
    <x v="0"/>
    <x v="4"/>
    <x v="10"/>
    <x v="3"/>
    <n v="1"/>
    <n v="8700"/>
    <x v="40"/>
  </r>
  <r>
    <x v="253"/>
    <s v="EMP002"/>
    <x v="1"/>
    <x v="5"/>
    <x v="11"/>
    <x v="4"/>
    <n v="3"/>
    <n v="14900"/>
    <x v="57"/>
  </r>
  <r>
    <x v="254"/>
    <s v="EMP003"/>
    <x v="2"/>
    <x v="0"/>
    <x v="12"/>
    <x v="0"/>
    <n v="1"/>
    <n v="33000"/>
    <x v="79"/>
  </r>
  <r>
    <x v="255"/>
    <s v="EMP004"/>
    <x v="3"/>
    <x v="1"/>
    <x v="13"/>
    <x v="1"/>
    <n v="2"/>
    <n v="11600"/>
    <x v="48"/>
  </r>
  <r>
    <x v="256"/>
    <s v="EMP005"/>
    <x v="4"/>
    <x v="2"/>
    <x v="14"/>
    <x v="2"/>
    <n v="1"/>
    <n v="17900"/>
    <x v="80"/>
  </r>
  <r>
    <x v="257"/>
    <s v="EMP006"/>
    <x v="5"/>
    <x v="3"/>
    <x v="21"/>
    <x v="3"/>
    <n v="2"/>
    <n v="8800"/>
    <x v="36"/>
  </r>
  <r>
    <x v="258"/>
    <s v="EMP007"/>
    <x v="6"/>
    <x v="4"/>
    <x v="16"/>
    <x v="4"/>
    <n v="1"/>
    <n v="15100"/>
    <x v="67"/>
  </r>
  <r>
    <x v="259"/>
    <s v="EMP008"/>
    <x v="7"/>
    <x v="5"/>
    <x v="17"/>
    <x v="0"/>
    <n v="2"/>
    <n v="31800"/>
    <x v="81"/>
  </r>
  <r>
    <x v="260"/>
    <s v="EMP001"/>
    <x v="0"/>
    <x v="0"/>
    <x v="18"/>
    <x v="1"/>
    <n v="1"/>
    <n v="12000"/>
    <x v="1"/>
  </r>
  <r>
    <x v="261"/>
    <s v="EMP002"/>
    <x v="1"/>
    <x v="1"/>
    <x v="19"/>
    <x v="2"/>
    <n v="2"/>
    <n v="17800"/>
    <x v="82"/>
  </r>
  <r>
    <x v="262"/>
    <s v="EMP003"/>
    <x v="2"/>
    <x v="2"/>
    <x v="20"/>
    <x v="3"/>
    <n v="3"/>
    <n v="9100"/>
    <x v="32"/>
  </r>
  <r>
    <x v="263"/>
    <s v="EMP004"/>
    <x v="3"/>
    <x v="3"/>
    <x v="27"/>
    <x v="4"/>
    <n v="1"/>
    <n v="14800"/>
    <x v="19"/>
  </r>
  <r>
    <x v="264"/>
    <s v="EMP005"/>
    <x v="4"/>
    <x v="4"/>
    <x v="28"/>
    <x v="0"/>
    <n v="1"/>
    <n v="32700"/>
    <x v="83"/>
  </r>
  <r>
    <x v="265"/>
    <s v="EMP006"/>
    <x v="5"/>
    <x v="5"/>
    <x v="29"/>
    <x v="1"/>
    <n v="2"/>
    <n v="11500"/>
    <x v="6"/>
  </r>
  <r>
    <x v="266"/>
    <s v="EMP007"/>
    <x v="6"/>
    <x v="0"/>
    <x v="30"/>
    <x v="2"/>
    <n v="1"/>
    <n v="17600"/>
    <x v="36"/>
  </r>
  <r>
    <x v="267"/>
    <s v="EMP008"/>
    <x v="7"/>
    <x v="1"/>
    <x v="31"/>
    <x v="3"/>
    <n v="5"/>
    <n v="8500"/>
    <x v="84"/>
  </r>
  <r>
    <x v="268"/>
    <s v="EMP001"/>
    <x v="0"/>
    <x v="2"/>
    <x v="26"/>
    <x v="4"/>
    <n v="3"/>
    <n v="15000"/>
    <x v="85"/>
  </r>
  <r>
    <x v="269"/>
    <s v="EMP002"/>
    <x v="1"/>
    <x v="3"/>
    <x v="9"/>
    <x v="0"/>
    <n v="1"/>
    <n v="31900"/>
    <x v="74"/>
  </r>
  <r>
    <x v="270"/>
    <s v="EMP003"/>
    <x v="2"/>
    <x v="4"/>
    <x v="22"/>
    <x v="1"/>
    <n v="4"/>
    <n v="11800"/>
    <x v="86"/>
  </r>
  <r>
    <x v="271"/>
    <s v="EMP004"/>
    <x v="3"/>
    <x v="5"/>
    <x v="23"/>
    <x v="2"/>
    <n v="2"/>
    <n v="18100"/>
    <x v="87"/>
  </r>
  <r>
    <x v="272"/>
    <s v="EMP005"/>
    <x v="4"/>
    <x v="0"/>
    <x v="24"/>
    <x v="3"/>
    <n v="6"/>
    <n v="8600"/>
    <x v="88"/>
  </r>
  <r>
    <x v="273"/>
    <s v="EMP006"/>
    <x v="5"/>
    <x v="1"/>
    <x v="25"/>
    <x v="4"/>
    <n v="2"/>
    <n v="15200"/>
    <x v="41"/>
  </r>
  <r>
    <x v="274"/>
    <s v="EMP007"/>
    <x v="6"/>
    <x v="2"/>
    <x v="2"/>
    <x v="0"/>
    <n v="1"/>
    <n v="32500"/>
    <x v="75"/>
  </r>
  <r>
    <x v="275"/>
    <s v="EMP008"/>
    <x v="7"/>
    <x v="3"/>
    <x v="3"/>
    <x v="1"/>
    <n v="2"/>
    <n v="11800"/>
    <x v="76"/>
  </r>
  <r>
    <x v="276"/>
    <s v="EMP001"/>
    <x v="0"/>
    <x v="4"/>
    <x v="4"/>
    <x v="2"/>
    <n v="4"/>
    <n v="18200"/>
    <x v="89"/>
  </r>
  <r>
    <x v="277"/>
    <s v="EMP002"/>
    <x v="1"/>
    <x v="5"/>
    <x v="5"/>
    <x v="3"/>
    <n v="3"/>
    <n v="8900"/>
    <x v="28"/>
  </r>
  <r>
    <x v="278"/>
    <s v="EMP003"/>
    <x v="2"/>
    <x v="0"/>
    <x v="6"/>
    <x v="4"/>
    <n v="1"/>
    <n v="15000"/>
    <x v="77"/>
  </r>
  <r>
    <x v="279"/>
    <s v="EMP004"/>
    <x v="3"/>
    <x v="1"/>
    <x v="7"/>
    <x v="0"/>
    <n v="2"/>
    <n v="32000"/>
    <x v="0"/>
  </r>
  <r>
    <x v="280"/>
    <s v="EMP005"/>
    <x v="4"/>
    <x v="2"/>
    <x v="8"/>
    <x v="1"/>
    <n v="1"/>
    <n v="11700"/>
    <x v="78"/>
  </r>
  <r>
    <x v="281"/>
    <s v="EMP006"/>
    <x v="5"/>
    <x v="3"/>
    <x v="15"/>
    <x v="2"/>
    <n v="2"/>
    <n v="18000"/>
    <x v="27"/>
  </r>
  <r>
    <x v="282"/>
    <s v="EMP007"/>
    <x v="6"/>
    <x v="4"/>
    <x v="10"/>
    <x v="3"/>
    <n v="2"/>
    <n v="8700"/>
    <x v="18"/>
  </r>
  <r>
    <x v="283"/>
    <s v="EMP008"/>
    <x v="7"/>
    <x v="5"/>
    <x v="11"/>
    <x v="4"/>
    <n v="3"/>
    <n v="14900"/>
    <x v="57"/>
  </r>
  <r>
    <x v="284"/>
    <s v="EMP001"/>
    <x v="0"/>
    <x v="0"/>
    <x v="12"/>
    <x v="0"/>
    <n v="1"/>
    <n v="33000"/>
    <x v="79"/>
  </r>
  <r>
    <x v="285"/>
    <s v="EMP002"/>
    <x v="1"/>
    <x v="1"/>
    <x v="13"/>
    <x v="1"/>
    <n v="2"/>
    <n v="11600"/>
    <x v="48"/>
  </r>
  <r>
    <x v="286"/>
    <s v="EMP003"/>
    <x v="2"/>
    <x v="2"/>
    <x v="14"/>
    <x v="2"/>
    <n v="1"/>
    <n v="17900"/>
    <x v="80"/>
  </r>
  <r>
    <x v="287"/>
    <s v="EMP004"/>
    <x v="3"/>
    <x v="3"/>
    <x v="21"/>
    <x v="3"/>
    <n v="2"/>
    <n v="8800"/>
    <x v="36"/>
  </r>
  <r>
    <x v="288"/>
    <s v="EMP005"/>
    <x v="4"/>
    <x v="4"/>
    <x v="16"/>
    <x v="4"/>
    <n v="1"/>
    <n v="15100"/>
    <x v="67"/>
  </r>
  <r>
    <x v="289"/>
    <s v="EMP006"/>
    <x v="5"/>
    <x v="5"/>
    <x v="17"/>
    <x v="0"/>
    <n v="1"/>
    <n v="31800"/>
    <x v="25"/>
  </r>
  <r>
    <x v="290"/>
    <s v="EMP007"/>
    <x v="6"/>
    <x v="0"/>
    <x v="18"/>
    <x v="1"/>
    <n v="1"/>
    <n v="12000"/>
    <x v="1"/>
  </r>
  <r>
    <x v="291"/>
    <s v="EMP008"/>
    <x v="7"/>
    <x v="1"/>
    <x v="19"/>
    <x v="2"/>
    <n v="2"/>
    <n v="17800"/>
    <x v="82"/>
  </r>
  <r>
    <x v="292"/>
    <s v="EMP001"/>
    <x v="0"/>
    <x v="2"/>
    <x v="20"/>
    <x v="3"/>
    <n v="3"/>
    <n v="9100"/>
    <x v="32"/>
  </r>
  <r>
    <x v="293"/>
    <s v="EMP002"/>
    <x v="1"/>
    <x v="3"/>
    <x v="27"/>
    <x v="4"/>
    <n v="1"/>
    <n v="14800"/>
    <x v="19"/>
  </r>
  <r>
    <x v="294"/>
    <s v="EMP003"/>
    <x v="2"/>
    <x v="4"/>
    <x v="28"/>
    <x v="0"/>
    <n v="1"/>
    <n v="32700"/>
    <x v="83"/>
  </r>
  <r>
    <x v="295"/>
    <s v="EMP004"/>
    <x v="3"/>
    <x v="5"/>
    <x v="29"/>
    <x v="1"/>
    <n v="4"/>
    <n v="11500"/>
    <x v="90"/>
  </r>
  <r>
    <x v="296"/>
    <s v="EMP005"/>
    <x v="4"/>
    <x v="0"/>
    <x v="30"/>
    <x v="2"/>
    <n v="1"/>
    <n v="17600"/>
    <x v="36"/>
  </r>
  <r>
    <x v="297"/>
    <s v="EMP006"/>
    <x v="5"/>
    <x v="1"/>
    <x v="31"/>
    <x v="3"/>
    <n v="5"/>
    <n v="8500"/>
    <x v="84"/>
  </r>
  <r>
    <x v="298"/>
    <s v="EMP007"/>
    <x v="6"/>
    <x v="2"/>
    <x v="26"/>
    <x v="4"/>
    <n v="3"/>
    <n v="15000"/>
    <x v="85"/>
  </r>
  <r>
    <x v="299"/>
    <s v="EMP008"/>
    <x v="7"/>
    <x v="3"/>
    <x v="9"/>
    <x v="0"/>
    <n v="1"/>
    <n v="31900"/>
    <x v="74"/>
  </r>
  <r>
    <x v="300"/>
    <s v="EMP001"/>
    <x v="0"/>
    <x v="4"/>
    <x v="22"/>
    <x v="1"/>
    <n v="1"/>
    <n v="11800"/>
    <x v="11"/>
  </r>
  <r>
    <x v="301"/>
    <s v="EMP002"/>
    <x v="1"/>
    <x v="5"/>
    <x v="23"/>
    <x v="2"/>
    <n v="4"/>
    <n v="18100"/>
    <x v="91"/>
  </r>
  <r>
    <x v="302"/>
    <s v="EMP003"/>
    <x v="2"/>
    <x v="0"/>
    <x v="24"/>
    <x v="3"/>
    <n v="1"/>
    <n v="8600"/>
    <x v="23"/>
  </r>
  <r>
    <x v="303"/>
    <s v="EMP004"/>
    <x v="3"/>
    <x v="1"/>
    <x v="25"/>
    <x v="4"/>
    <n v="2"/>
    <n v="15200"/>
    <x v="41"/>
  </r>
  <r>
    <x v="304"/>
    <s v="EMP005"/>
    <x v="4"/>
    <x v="2"/>
    <x v="2"/>
    <x v="0"/>
    <n v="1"/>
    <n v="32500"/>
    <x v="75"/>
  </r>
  <r>
    <x v="305"/>
    <s v="EMP006"/>
    <x v="5"/>
    <x v="3"/>
    <x v="3"/>
    <x v="1"/>
    <n v="2"/>
    <n v="11800"/>
    <x v="76"/>
  </r>
  <r>
    <x v="305"/>
    <s v="EMP006"/>
    <x v="5"/>
    <x v="1"/>
    <x v="31"/>
    <x v="3"/>
    <n v="4"/>
    <n v="8500"/>
    <x v="92"/>
  </r>
  <r>
    <x v="306"/>
    <s v="EMP003"/>
    <x v="2"/>
    <x v="2"/>
    <x v="8"/>
    <x v="1"/>
    <n v="1"/>
    <n v="11700"/>
    <x v="78"/>
  </r>
  <r>
    <x v="306"/>
    <s v="EMP008"/>
    <x v="7"/>
    <x v="3"/>
    <x v="15"/>
    <x v="2"/>
    <n v="2"/>
    <n v="18000"/>
    <x v="27"/>
  </r>
  <r>
    <x v="306"/>
    <s v="EMP001"/>
    <x v="0"/>
    <x v="2"/>
    <x v="2"/>
    <x v="0"/>
    <n v="1"/>
    <n v="32500"/>
    <x v="75"/>
  </r>
  <r>
    <x v="307"/>
    <s v="EMP002"/>
    <x v="1"/>
    <x v="3"/>
    <x v="3"/>
    <x v="1"/>
    <n v="2"/>
    <n v="11800"/>
    <x v="76"/>
  </r>
  <r>
    <x v="308"/>
    <s v="EMP003"/>
    <x v="2"/>
    <x v="4"/>
    <x v="4"/>
    <x v="2"/>
    <n v="1"/>
    <n v="18200"/>
    <x v="17"/>
  </r>
  <r>
    <x v="309"/>
    <s v="EMP004"/>
    <x v="3"/>
    <x v="5"/>
    <x v="5"/>
    <x v="3"/>
    <n v="3"/>
    <n v="8900"/>
    <x v="28"/>
  </r>
  <r>
    <x v="310"/>
    <s v="EMP005"/>
    <x v="4"/>
    <x v="0"/>
    <x v="6"/>
    <x v="4"/>
    <n v="1"/>
    <n v="15000"/>
    <x v="77"/>
  </r>
  <r>
    <x v="311"/>
    <s v="EMP006"/>
    <x v="5"/>
    <x v="1"/>
    <x v="7"/>
    <x v="0"/>
    <n v="2"/>
    <n v="32000"/>
    <x v="0"/>
  </r>
  <r>
    <x v="312"/>
    <s v="EMP007"/>
    <x v="6"/>
    <x v="2"/>
    <x v="8"/>
    <x v="1"/>
    <n v="1"/>
    <n v="11700"/>
    <x v="78"/>
  </r>
  <r>
    <x v="313"/>
    <s v="EMP008"/>
    <x v="7"/>
    <x v="3"/>
    <x v="15"/>
    <x v="2"/>
    <n v="2"/>
    <n v="18000"/>
    <x v="27"/>
  </r>
  <r>
    <x v="314"/>
    <s v="EMP001"/>
    <x v="0"/>
    <x v="4"/>
    <x v="10"/>
    <x v="3"/>
    <n v="1"/>
    <n v="8700"/>
    <x v="40"/>
  </r>
  <r>
    <x v="315"/>
    <s v="EMP002"/>
    <x v="1"/>
    <x v="5"/>
    <x v="11"/>
    <x v="4"/>
    <n v="3"/>
    <n v="14900"/>
    <x v="57"/>
  </r>
  <r>
    <x v="316"/>
    <s v="EMP003"/>
    <x v="2"/>
    <x v="0"/>
    <x v="12"/>
    <x v="0"/>
    <n v="1"/>
    <n v="33000"/>
    <x v="79"/>
  </r>
  <r>
    <x v="317"/>
    <s v="EMP004"/>
    <x v="3"/>
    <x v="1"/>
    <x v="13"/>
    <x v="1"/>
    <n v="2"/>
    <n v="11600"/>
    <x v="48"/>
  </r>
  <r>
    <x v="318"/>
    <s v="EMP005"/>
    <x v="4"/>
    <x v="2"/>
    <x v="14"/>
    <x v="2"/>
    <n v="1"/>
    <n v="17900"/>
    <x v="80"/>
  </r>
  <r>
    <x v="319"/>
    <s v="EMP006"/>
    <x v="5"/>
    <x v="3"/>
    <x v="21"/>
    <x v="3"/>
    <n v="2"/>
    <n v="8800"/>
    <x v="36"/>
  </r>
  <r>
    <x v="320"/>
    <s v="EMP007"/>
    <x v="6"/>
    <x v="4"/>
    <x v="16"/>
    <x v="4"/>
    <n v="1"/>
    <n v="15100"/>
    <x v="67"/>
  </r>
  <r>
    <x v="321"/>
    <s v="EMP008"/>
    <x v="7"/>
    <x v="5"/>
    <x v="17"/>
    <x v="0"/>
    <n v="2"/>
    <n v="31800"/>
    <x v="81"/>
  </r>
  <r>
    <x v="322"/>
    <s v="EMP001"/>
    <x v="0"/>
    <x v="0"/>
    <x v="18"/>
    <x v="1"/>
    <n v="1"/>
    <n v="12000"/>
    <x v="1"/>
  </r>
  <r>
    <x v="323"/>
    <s v="EMP002"/>
    <x v="1"/>
    <x v="1"/>
    <x v="19"/>
    <x v="2"/>
    <n v="2"/>
    <n v="17800"/>
    <x v="82"/>
  </r>
  <r>
    <x v="324"/>
    <s v="EMP003"/>
    <x v="2"/>
    <x v="2"/>
    <x v="20"/>
    <x v="3"/>
    <n v="3"/>
    <n v="9100"/>
    <x v="32"/>
  </r>
  <r>
    <x v="325"/>
    <s v="EMP004"/>
    <x v="3"/>
    <x v="3"/>
    <x v="27"/>
    <x v="4"/>
    <n v="1"/>
    <n v="14800"/>
    <x v="19"/>
  </r>
  <r>
    <x v="326"/>
    <s v="EMP005"/>
    <x v="4"/>
    <x v="4"/>
    <x v="28"/>
    <x v="0"/>
    <n v="1"/>
    <n v="32700"/>
    <x v="83"/>
  </r>
  <r>
    <x v="327"/>
    <s v="EMP006"/>
    <x v="5"/>
    <x v="5"/>
    <x v="29"/>
    <x v="1"/>
    <n v="2"/>
    <n v="11500"/>
    <x v="6"/>
  </r>
  <r>
    <x v="328"/>
    <s v="EMP007"/>
    <x v="6"/>
    <x v="0"/>
    <x v="30"/>
    <x v="2"/>
    <n v="1"/>
    <n v="17600"/>
    <x v="36"/>
  </r>
  <r>
    <x v="329"/>
    <s v="EMP008"/>
    <x v="7"/>
    <x v="1"/>
    <x v="31"/>
    <x v="3"/>
    <n v="2"/>
    <n v="8500"/>
    <x v="64"/>
  </r>
  <r>
    <x v="330"/>
    <s v="EMP001"/>
    <x v="0"/>
    <x v="2"/>
    <x v="26"/>
    <x v="4"/>
    <n v="3"/>
    <n v="15000"/>
    <x v="85"/>
  </r>
  <r>
    <x v="331"/>
    <s v="EMP002"/>
    <x v="1"/>
    <x v="3"/>
    <x v="9"/>
    <x v="0"/>
    <n v="1"/>
    <n v="31900"/>
    <x v="74"/>
  </r>
  <r>
    <x v="332"/>
    <s v="EMP003"/>
    <x v="2"/>
    <x v="4"/>
    <x v="22"/>
    <x v="1"/>
    <n v="1"/>
    <n v="11800"/>
    <x v="11"/>
  </r>
  <r>
    <x v="333"/>
    <s v="EMP004"/>
    <x v="3"/>
    <x v="5"/>
    <x v="23"/>
    <x v="2"/>
    <n v="2"/>
    <n v="18100"/>
    <x v="87"/>
  </r>
  <r>
    <x v="334"/>
    <s v="EMP005"/>
    <x v="4"/>
    <x v="0"/>
    <x v="24"/>
    <x v="3"/>
    <n v="1"/>
    <n v="8600"/>
    <x v="23"/>
  </r>
  <r>
    <x v="335"/>
    <s v="EMP006"/>
    <x v="5"/>
    <x v="1"/>
    <x v="25"/>
    <x v="4"/>
    <n v="2"/>
    <n v="15200"/>
    <x v="41"/>
  </r>
  <r>
    <x v="336"/>
    <s v="EMP007"/>
    <x v="6"/>
    <x v="2"/>
    <x v="2"/>
    <x v="0"/>
    <n v="1"/>
    <n v="32500"/>
    <x v="75"/>
  </r>
  <r>
    <x v="337"/>
    <s v="EMP008"/>
    <x v="7"/>
    <x v="3"/>
    <x v="3"/>
    <x v="1"/>
    <n v="2"/>
    <n v="11800"/>
    <x v="76"/>
  </r>
  <r>
    <x v="338"/>
    <s v="EMP001"/>
    <x v="0"/>
    <x v="4"/>
    <x v="4"/>
    <x v="2"/>
    <n v="1"/>
    <n v="18200"/>
    <x v="17"/>
  </r>
  <r>
    <x v="339"/>
    <s v="EMP002"/>
    <x v="1"/>
    <x v="5"/>
    <x v="5"/>
    <x v="3"/>
    <n v="5"/>
    <n v="8900"/>
    <x v="93"/>
  </r>
  <r>
    <x v="340"/>
    <s v="EMP003"/>
    <x v="2"/>
    <x v="0"/>
    <x v="6"/>
    <x v="4"/>
    <n v="1"/>
    <n v="15000"/>
    <x v="77"/>
  </r>
  <r>
    <x v="341"/>
    <s v="EMP004"/>
    <x v="3"/>
    <x v="1"/>
    <x v="7"/>
    <x v="0"/>
    <n v="2"/>
    <n v="32000"/>
    <x v="0"/>
  </r>
  <r>
    <x v="342"/>
    <s v="EMP005"/>
    <x v="4"/>
    <x v="2"/>
    <x v="8"/>
    <x v="1"/>
    <n v="1"/>
    <n v="11700"/>
    <x v="78"/>
  </r>
  <r>
    <x v="343"/>
    <s v="EMP006"/>
    <x v="5"/>
    <x v="3"/>
    <x v="15"/>
    <x v="2"/>
    <n v="2"/>
    <n v="18000"/>
    <x v="27"/>
  </r>
  <r>
    <x v="344"/>
    <s v="EMP007"/>
    <x v="6"/>
    <x v="4"/>
    <x v="10"/>
    <x v="3"/>
    <n v="5"/>
    <n v="8700"/>
    <x v="94"/>
  </r>
  <r>
    <x v="345"/>
    <s v="EMP008"/>
    <x v="7"/>
    <x v="5"/>
    <x v="11"/>
    <x v="4"/>
    <n v="3"/>
    <n v="14900"/>
    <x v="57"/>
  </r>
  <r>
    <x v="346"/>
    <s v="EMP001"/>
    <x v="0"/>
    <x v="0"/>
    <x v="12"/>
    <x v="0"/>
    <n v="1"/>
    <n v="33000"/>
    <x v="79"/>
  </r>
  <r>
    <x v="347"/>
    <s v="EMP002"/>
    <x v="1"/>
    <x v="1"/>
    <x v="13"/>
    <x v="1"/>
    <n v="3"/>
    <n v="11600"/>
    <x v="95"/>
  </r>
  <r>
    <x v="348"/>
    <s v="EMP003"/>
    <x v="2"/>
    <x v="2"/>
    <x v="14"/>
    <x v="2"/>
    <n v="1"/>
    <n v="17900"/>
    <x v="80"/>
  </r>
  <r>
    <x v="349"/>
    <s v="EMP004"/>
    <x v="3"/>
    <x v="3"/>
    <x v="21"/>
    <x v="3"/>
    <n v="4"/>
    <n v="8800"/>
    <x v="35"/>
  </r>
  <r>
    <x v="350"/>
    <s v="EMP005"/>
    <x v="4"/>
    <x v="4"/>
    <x v="16"/>
    <x v="4"/>
    <n v="1"/>
    <n v="15100"/>
    <x v="67"/>
  </r>
  <r>
    <x v="351"/>
    <s v="EMP006"/>
    <x v="5"/>
    <x v="5"/>
    <x v="17"/>
    <x v="0"/>
    <n v="2"/>
    <n v="31800"/>
    <x v="81"/>
  </r>
  <r>
    <x v="352"/>
    <s v="EMP007"/>
    <x v="6"/>
    <x v="0"/>
    <x v="18"/>
    <x v="1"/>
    <n v="1"/>
    <n v="12000"/>
    <x v="1"/>
  </r>
  <r>
    <x v="353"/>
    <s v="EMP008"/>
    <x v="7"/>
    <x v="1"/>
    <x v="19"/>
    <x v="2"/>
    <n v="2"/>
    <n v="17800"/>
    <x v="82"/>
  </r>
  <r>
    <x v="354"/>
    <s v="EMP001"/>
    <x v="0"/>
    <x v="2"/>
    <x v="20"/>
    <x v="3"/>
    <n v="3"/>
    <n v="9100"/>
    <x v="32"/>
  </r>
  <r>
    <x v="355"/>
    <s v="EMP002"/>
    <x v="1"/>
    <x v="3"/>
    <x v="27"/>
    <x v="4"/>
    <n v="1"/>
    <n v="14800"/>
    <x v="19"/>
  </r>
  <r>
    <x v="356"/>
    <s v="EMP003"/>
    <x v="2"/>
    <x v="4"/>
    <x v="28"/>
    <x v="0"/>
    <n v="1"/>
    <n v="32700"/>
    <x v="83"/>
  </r>
  <r>
    <x v="357"/>
    <s v="EMP004"/>
    <x v="3"/>
    <x v="5"/>
    <x v="29"/>
    <x v="1"/>
    <n v="2"/>
    <n v="11500"/>
    <x v="6"/>
  </r>
  <r>
    <x v="358"/>
    <s v="EMP005"/>
    <x v="4"/>
    <x v="0"/>
    <x v="30"/>
    <x v="2"/>
    <n v="1"/>
    <n v="17600"/>
    <x v="36"/>
  </r>
  <r>
    <x v="359"/>
    <s v="EMP006"/>
    <x v="5"/>
    <x v="1"/>
    <x v="31"/>
    <x v="3"/>
    <n v="2"/>
    <n v="8500"/>
    <x v="64"/>
  </r>
  <r>
    <x v="360"/>
    <s v="EMP007"/>
    <x v="6"/>
    <x v="2"/>
    <x v="26"/>
    <x v="4"/>
    <n v="3"/>
    <n v="15000"/>
    <x v="85"/>
  </r>
  <r>
    <x v="361"/>
    <s v="EMP008"/>
    <x v="7"/>
    <x v="3"/>
    <x v="9"/>
    <x v="0"/>
    <n v="1"/>
    <n v="31900"/>
    <x v="74"/>
  </r>
  <r>
    <x v="362"/>
    <s v="EMP001"/>
    <x v="0"/>
    <x v="4"/>
    <x v="22"/>
    <x v="1"/>
    <n v="6"/>
    <n v="11800"/>
    <x v="96"/>
  </r>
  <r>
    <x v="363"/>
    <s v="EMP002"/>
    <x v="1"/>
    <x v="5"/>
    <x v="23"/>
    <x v="2"/>
    <n v="2"/>
    <n v="18100"/>
    <x v="87"/>
  </r>
  <r>
    <x v="364"/>
    <s v="EMP003"/>
    <x v="2"/>
    <x v="0"/>
    <x v="24"/>
    <x v="3"/>
    <n v="6"/>
    <n v="8600"/>
    <x v="88"/>
  </r>
  <r>
    <x v="364"/>
    <s v="EMP001"/>
    <x v="0"/>
    <x v="2"/>
    <x v="20"/>
    <x v="3"/>
    <n v="3"/>
    <n v="9100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9CBAD-3318-45E4-8CC4-266174D2C5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 colHeaderCaption="">
  <location ref="B427:K441" firstHeaderRow="1" firstDataRow="2" firstDataCol="1"/>
  <pivotFields count="12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Col" showAll="0">
      <items count="9">
        <item x="0"/>
        <item x="5"/>
        <item x="7"/>
        <item x="1"/>
        <item x="3"/>
        <item x="2"/>
        <item x="4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 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09236-326C-4479-B6D4-B6FB8913318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Employees _x000a_Name">
  <location ref="B416:C424" firstHeaderRow="1" firstDataRow="1" firstDataCol="1"/>
  <pivotFields count="12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>
      <items count="9">
        <item x="0"/>
        <item x="5"/>
        <item x="7"/>
        <item x="1"/>
        <item x="3"/>
        <item x="2"/>
        <item x="4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Total Sales" fld="8" baseField="2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outline="0" axis="axisValues" fieldPosition="0"/>
    </format>
    <format dxfId="4">
      <pivotArea field="2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26F5-7BF2-4EC1-9B92-54DCC7B81F62}">
  <dimension ref="A1:O551"/>
  <sheetViews>
    <sheetView tabSelected="1" workbookViewId="0">
      <pane ySplit="2" topLeftCell="A524" activePane="bottomLeft" state="frozen"/>
      <selection pane="bottomLeft" activeCell="C524" sqref="C524"/>
    </sheetView>
  </sheetViews>
  <sheetFormatPr defaultRowHeight="14.4" x14ac:dyDescent="0.3"/>
  <cols>
    <col min="1" max="1" width="12.21875" bestFit="1" customWidth="1"/>
    <col min="2" max="2" width="16.6640625" bestFit="1" customWidth="1"/>
    <col min="3" max="3" width="16.109375" bestFit="1" customWidth="1"/>
    <col min="4" max="4" width="14.44140625" bestFit="1" customWidth="1"/>
    <col min="5" max="5" width="12.21875" bestFit="1" customWidth="1"/>
    <col min="6" max="7" width="12" bestFit="1" customWidth="1"/>
    <col min="8" max="8" width="12.44140625" bestFit="1" customWidth="1"/>
    <col min="9" max="9" width="12.5546875" bestFit="1" customWidth="1"/>
    <col min="10" max="10" width="12" bestFit="1" customWidth="1"/>
    <col min="11" max="11" width="11.33203125" bestFit="1" customWidth="1"/>
    <col min="12" max="12" width="13.109375" bestFit="1" customWidth="1"/>
    <col min="13" max="14" width="11.33203125" bestFit="1" customWidth="1"/>
    <col min="15" max="15" width="15.21875" bestFit="1" customWidth="1"/>
    <col min="16" max="16" width="10.77734375" customWidth="1"/>
    <col min="17" max="87" width="6" bestFit="1" customWidth="1"/>
    <col min="88" max="100" width="7" bestFit="1" customWidth="1"/>
    <col min="101" max="101" width="10.77734375" bestFit="1" customWidth="1"/>
  </cols>
  <sheetData>
    <row r="1" spans="1:10" ht="22.8" x14ac:dyDescent="0.45">
      <c r="A1" s="25" t="s">
        <v>68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7.399999999999999" x14ac:dyDescent="0.3">
      <c r="A2" s="3" t="s">
        <v>0</v>
      </c>
      <c r="B2" s="3" t="s">
        <v>115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66</v>
      </c>
      <c r="J2" s="3" t="s">
        <v>67</v>
      </c>
    </row>
    <row r="3" spans="1:10" x14ac:dyDescent="0.3">
      <c r="A3" s="2">
        <v>45383</v>
      </c>
      <c r="B3" s="2" t="str">
        <f>TEXT(A3,"mmmm")</f>
        <v>April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>
        <v>2</v>
      </c>
      <c r="I3" s="1">
        <v>32000</v>
      </c>
      <c r="J3" s="1">
        <f>I3*H3</f>
        <v>64000</v>
      </c>
    </row>
    <row r="4" spans="1:10" x14ac:dyDescent="0.3">
      <c r="A4" s="2">
        <v>45384</v>
      </c>
      <c r="B4" s="2" t="str">
        <f t="shared" ref="B4:B67" si="0">TEXT(A4,"mmmm")</f>
        <v>April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>
        <v>1</v>
      </c>
      <c r="I4" s="1">
        <v>12000</v>
      </c>
      <c r="J4" s="1">
        <f t="shared" ref="J4:J67" si="1">I4*H4</f>
        <v>12000</v>
      </c>
    </row>
    <row r="5" spans="1:10" x14ac:dyDescent="0.3">
      <c r="A5" s="2">
        <v>45385</v>
      </c>
      <c r="B5" s="2" t="str">
        <f t="shared" si="0"/>
        <v>April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>
        <v>3</v>
      </c>
      <c r="I5" s="1">
        <v>18000</v>
      </c>
      <c r="J5" s="1">
        <f t="shared" si="1"/>
        <v>54000</v>
      </c>
    </row>
    <row r="6" spans="1:10" x14ac:dyDescent="0.3">
      <c r="A6" s="2">
        <v>45386</v>
      </c>
      <c r="B6" s="2" t="str">
        <f t="shared" si="0"/>
        <v>April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>
        <v>2</v>
      </c>
      <c r="I6" s="1">
        <v>9000</v>
      </c>
      <c r="J6" s="1">
        <f t="shared" si="1"/>
        <v>18000</v>
      </c>
    </row>
    <row r="7" spans="1:10" x14ac:dyDescent="0.3">
      <c r="A7" s="2">
        <v>45387</v>
      </c>
      <c r="B7" s="2" t="str">
        <f t="shared" si="0"/>
        <v>April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>
        <v>4</v>
      </c>
      <c r="I7" s="1">
        <v>15000</v>
      </c>
      <c r="J7" s="1">
        <f t="shared" si="1"/>
        <v>60000</v>
      </c>
    </row>
    <row r="8" spans="1:10" x14ac:dyDescent="0.3">
      <c r="A8" s="2">
        <v>45388</v>
      </c>
      <c r="B8" s="2" t="str">
        <f t="shared" si="0"/>
        <v>April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11</v>
      </c>
      <c r="H8" s="1">
        <v>1</v>
      </c>
      <c r="I8" s="1">
        <v>31000</v>
      </c>
      <c r="J8" s="1">
        <f t="shared" si="1"/>
        <v>31000</v>
      </c>
    </row>
    <row r="9" spans="1:10" x14ac:dyDescent="0.3">
      <c r="A9" s="2">
        <v>45389</v>
      </c>
      <c r="B9" s="2" t="str">
        <f t="shared" si="0"/>
        <v>April</v>
      </c>
      <c r="C9" s="1" t="s">
        <v>36</v>
      </c>
      <c r="D9" s="1" t="s">
        <v>37</v>
      </c>
      <c r="E9" s="1" t="s">
        <v>9</v>
      </c>
      <c r="F9" s="1" t="s">
        <v>38</v>
      </c>
      <c r="G9" s="1" t="s">
        <v>16</v>
      </c>
      <c r="H9" s="1">
        <v>2</v>
      </c>
      <c r="I9" s="1">
        <v>11500</v>
      </c>
      <c r="J9" s="1">
        <f t="shared" si="1"/>
        <v>23000</v>
      </c>
    </row>
    <row r="10" spans="1:10" x14ac:dyDescent="0.3">
      <c r="A10" s="2">
        <v>45390</v>
      </c>
      <c r="B10" s="2" t="str">
        <f t="shared" si="0"/>
        <v>April</v>
      </c>
      <c r="C10" s="1" t="s">
        <v>39</v>
      </c>
      <c r="D10" s="1" t="s">
        <v>40</v>
      </c>
      <c r="E10" s="1" t="s">
        <v>14</v>
      </c>
      <c r="F10" s="1" t="s">
        <v>41</v>
      </c>
      <c r="G10" s="1" t="s">
        <v>21</v>
      </c>
      <c r="H10" s="1">
        <v>1</v>
      </c>
      <c r="I10" s="1">
        <v>17500</v>
      </c>
      <c r="J10" s="1">
        <f t="shared" si="1"/>
        <v>17500</v>
      </c>
    </row>
    <row r="11" spans="1:10" x14ac:dyDescent="0.3">
      <c r="A11" s="2">
        <v>45391</v>
      </c>
      <c r="B11" s="2" t="str">
        <f t="shared" si="0"/>
        <v>April</v>
      </c>
      <c r="C11" s="1" t="s">
        <v>7</v>
      </c>
      <c r="D11" s="1" t="s">
        <v>8</v>
      </c>
      <c r="E11" s="1" t="s">
        <v>19</v>
      </c>
      <c r="F11" s="1" t="s">
        <v>42</v>
      </c>
      <c r="G11" s="1" t="s">
        <v>26</v>
      </c>
      <c r="H11" s="1">
        <v>3</v>
      </c>
      <c r="I11" s="1">
        <v>8500</v>
      </c>
      <c r="J11" s="1">
        <f t="shared" si="1"/>
        <v>25500</v>
      </c>
    </row>
    <row r="12" spans="1:10" x14ac:dyDescent="0.3">
      <c r="A12" s="2">
        <v>45392</v>
      </c>
      <c r="B12" s="2" t="str">
        <f t="shared" si="0"/>
        <v>April</v>
      </c>
      <c r="C12" s="1" t="s">
        <v>12</v>
      </c>
      <c r="D12" s="1" t="s">
        <v>13</v>
      </c>
      <c r="E12" s="1" t="s">
        <v>24</v>
      </c>
      <c r="F12" s="1" t="s">
        <v>43</v>
      </c>
      <c r="G12" s="1" t="s">
        <v>31</v>
      </c>
      <c r="H12" s="1">
        <v>6</v>
      </c>
      <c r="I12" s="1">
        <v>14500</v>
      </c>
      <c r="J12" s="1">
        <f t="shared" si="1"/>
        <v>87000</v>
      </c>
    </row>
    <row r="13" spans="1:10" x14ac:dyDescent="0.3">
      <c r="A13" s="2">
        <v>45393</v>
      </c>
      <c r="B13" s="2" t="str">
        <f t="shared" si="0"/>
        <v>April</v>
      </c>
      <c r="C13" s="1" t="s">
        <v>17</v>
      </c>
      <c r="D13" s="1" t="s">
        <v>18</v>
      </c>
      <c r="E13" s="1" t="s">
        <v>29</v>
      </c>
      <c r="F13" s="1" t="s">
        <v>44</v>
      </c>
      <c r="G13" s="1" t="s">
        <v>11</v>
      </c>
      <c r="H13" s="1">
        <v>5</v>
      </c>
      <c r="I13" s="1">
        <v>32500</v>
      </c>
      <c r="J13" s="1">
        <f t="shared" si="1"/>
        <v>162500</v>
      </c>
    </row>
    <row r="14" spans="1:10" x14ac:dyDescent="0.3">
      <c r="A14" s="2">
        <v>45394</v>
      </c>
      <c r="B14" s="2" t="str">
        <f t="shared" si="0"/>
        <v>April</v>
      </c>
      <c r="C14" s="1" t="s">
        <v>22</v>
      </c>
      <c r="D14" s="1" t="s">
        <v>23</v>
      </c>
      <c r="E14" s="1" t="s">
        <v>34</v>
      </c>
      <c r="F14" s="1" t="s">
        <v>45</v>
      </c>
      <c r="G14" s="1" t="s">
        <v>16</v>
      </c>
      <c r="H14" s="1">
        <v>1</v>
      </c>
      <c r="I14" s="1">
        <v>11800</v>
      </c>
      <c r="J14" s="1">
        <f t="shared" si="1"/>
        <v>11800</v>
      </c>
    </row>
    <row r="15" spans="1:10" x14ac:dyDescent="0.3">
      <c r="A15" s="2">
        <v>45395</v>
      </c>
      <c r="B15" s="2" t="str">
        <f t="shared" si="0"/>
        <v>April</v>
      </c>
      <c r="C15" s="1" t="s">
        <v>27</v>
      </c>
      <c r="D15" s="1" t="s">
        <v>28</v>
      </c>
      <c r="E15" s="1" t="s">
        <v>9</v>
      </c>
      <c r="F15" s="1" t="s">
        <v>46</v>
      </c>
      <c r="G15" s="1" t="s">
        <v>21</v>
      </c>
      <c r="H15" s="1">
        <v>7</v>
      </c>
      <c r="I15" s="1">
        <v>18500</v>
      </c>
      <c r="J15" s="1">
        <f t="shared" si="1"/>
        <v>129500</v>
      </c>
    </row>
    <row r="16" spans="1:10" x14ac:dyDescent="0.3">
      <c r="A16" s="2">
        <v>45396</v>
      </c>
      <c r="B16" s="2" t="str">
        <f t="shared" si="0"/>
        <v>April</v>
      </c>
      <c r="C16" s="1" t="s">
        <v>32</v>
      </c>
      <c r="D16" s="1" t="s">
        <v>33</v>
      </c>
      <c r="E16" s="1" t="s">
        <v>14</v>
      </c>
      <c r="F16" s="1" t="s">
        <v>47</v>
      </c>
      <c r="G16" s="1" t="s">
        <v>26</v>
      </c>
      <c r="H16" s="1">
        <v>1</v>
      </c>
      <c r="I16" s="1">
        <v>8800</v>
      </c>
      <c r="J16" s="1">
        <f t="shared" si="1"/>
        <v>8800</v>
      </c>
    </row>
    <row r="17" spans="1:10" x14ac:dyDescent="0.3">
      <c r="A17" s="2">
        <v>45397</v>
      </c>
      <c r="B17" s="2" t="str">
        <f t="shared" si="0"/>
        <v>April</v>
      </c>
      <c r="C17" s="1" t="s">
        <v>36</v>
      </c>
      <c r="D17" s="1" t="s">
        <v>37</v>
      </c>
      <c r="E17" s="1" t="s">
        <v>19</v>
      </c>
      <c r="F17" s="1" t="s">
        <v>48</v>
      </c>
      <c r="G17" s="1" t="s">
        <v>31</v>
      </c>
      <c r="H17" s="1">
        <v>3</v>
      </c>
      <c r="I17" s="1">
        <v>15200</v>
      </c>
      <c r="J17" s="1">
        <f t="shared" si="1"/>
        <v>45600</v>
      </c>
    </row>
    <row r="18" spans="1:10" x14ac:dyDescent="0.3">
      <c r="A18" s="2">
        <v>45398</v>
      </c>
      <c r="B18" s="2" t="str">
        <f t="shared" si="0"/>
        <v>April</v>
      </c>
      <c r="C18" s="1" t="s">
        <v>39</v>
      </c>
      <c r="D18" s="1" t="s">
        <v>40</v>
      </c>
      <c r="E18" s="1" t="s">
        <v>24</v>
      </c>
      <c r="F18" s="1" t="s">
        <v>49</v>
      </c>
      <c r="G18" s="1" t="s">
        <v>11</v>
      </c>
      <c r="H18" s="1">
        <v>2</v>
      </c>
      <c r="I18" s="1">
        <v>31500</v>
      </c>
      <c r="J18" s="1">
        <f t="shared" si="1"/>
        <v>63000</v>
      </c>
    </row>
    <row r="19" spans="1:10" x14ac:dyDescent="0.3">
      <c r="A19" s="2">
        <v>45399</v>
      </c>
      <c r="B19" s="2" t="str">
        <f t="shared" si="0"/>
        <v>April</v>
      </c>
      <c r="C19" s="1" t="s">
        <v>7</v>
      </c>
      <c r="D19" s="1" t="s">
        <v>8</v>
      </c>
      <c r="E19" s="1" t="s">
        <v>29</v>
      </c>
      <c r="F19" s="1" t="s">
        <v>50</v>
      </c>
      <c r="G19" s="1" t="s">
        <v>16</v>
      </c>
      <c r="H19" s="1">
        <v>8</v>
      </c>
      <c r="I19" s="1">
        <v>11900</v>
      </c>
      <c r="J19" s="1">
        <f t="shared" si="1"/>
        <v>95200</v>
      </c>
    </row>
    <row r="20" spans="1:10" x14ac:dyDescent="0.3">
      <c r="A20" s="2">
        <v>45400</v>
      </c>
      <c r="B20" s="2" t="str">
        <f t="shared" si="0"/>
        <v>April</v>
      </c>
      <c r="C20" s="1" t="s">
        <v>12</v>
      </c>
      <c r="D20" s="1" t="s">
        <v>13</v>
      </c>
      <c r="E20" s="1" t="s">
        <v>34</v>
      </c>
      <c r="F20" s="1" t="s">
        <v>51</v>
      </c>
      <c r="G20" s="1" t="s">
        <v>21</v>
      </c>
      <c r="H20" s="1">
        <v>1</v>
      </c>
      <c r="I20" s="1">
        <v>18200</v>
      </c>
      <c r="J20" s="1">
        <f t="shared" si="1"/>
        <v>18200</v>
      </c>
    </row>
    <row r="21" spans="1:10" x14ac:dyDescent="0.3">
      <c r="A21" s="2">
        <v>45401</v>
      </c>
      <c r="B21" s="2" t="str">
        <f t="shared" si="0"/>
        <v>April</v>
      </c>
      <c r="C21" s="1" t="s">
        <v>17</v>
      </c>
      <c r="D21" s="1" t="s">
        <v>18</v>
      </c>
      <c r="E21" s="1" t="s">
        <v>9</v>
      </c>
      <c r="F21" s="1" t="s">
        <v>52</v>
      </c>
      <c r="G21" s="1" t="s">
        <v>26</v>
      </c>
      <c r="H21" s="1">
        <v>2</v>
      </c>
      <c r="I21" s="1">
        <v>8700</v>
      </c>
      <c r="J21" s="1">
        <f t="shared" si="1"/>
        <v>17400</v>
      </c>
    </row>
    <row r="22" spans="1:10" x14ac:dyDescent="0.3">
      <c r="A22" s="2">
        <v>45402</v>
      </c>
      <c r="B22" s="2" t="str">
        <f t="shared" si="0"/>
        <v>April</v>
      </c>
      <c r="C22" s="1" t="s">
        <v>22</v>
      </c>
      <c r="D22" s="1" t="s">
        <v>23</v>
      </c>
      <c r="E22" s="1" t="s">
        <v>14</v>
      </c>
      <c r="F22" s="1" t="s">
        <v>53</v>
      </c>
      <c r="G22" s="1" t="s">
        <v>31</v>
      </c>
      <c r="H22" s="1">
        <v>1</v>
      </c>
      <c r="I22" s="1">
        <v>14800</v>
      </c>
      <c r="J22" s="1">
        <f t="shared" si="1"/>
        <v>14800</v>
      </c>
    </row>
    <row r="23" spans="1:10" x14ac:dyDescent="0.3">
      <c r="A23" s="2">
        <v>45403</v>
      </c>
      <c r="B23" s="2" t="str">
        <f t="shared" si="0"/>
        <v>April</v>
      </c>
      <c r="C23" s="1" t="s">
        <v>27</v>
      </c>
      <c r="D23" s="1" t="s">
        <v>28</v>
      </c>
      <c r="E23" s="1" t="s">
        <v>19</v>
      </c>
      <c r="F23" s="1" t="s">
        <v>54</v>
      </c>
      <c r="G23" s="1" t="s">
        <v>11</v>
      </c>
      <c r="H23" s="1">
        <v>2</v>
      </c>
      <c r="I23" s="1">
        <v>33000</v>
      </c>
      <c r="J23" s="1">
        <f t="shared" si="1"/>
        <v>66000</v>
      </c>
    </row>
    <row r="24" spans="1:10" x14ac:dyDescent="0.3">
      <c r="A24" s="2">
        <v>45404</v>
      </c>
      <c r="B24" s="2" t="str">
        <f t="shared" si="0"/>
        <v>April</v>
      </c>
      <c r="C24" s="1" t="s">
        <v>32</v>
      </c>
      <c r="D24" s="1" t="s">
        <v>33</v>
      </c>
      <c r="E24" s="1" t="s">
        <v>24</v>
      </c>
      <c r="F24" s="1" t="s">
        <v>55</v>
      </c>
      <c r="G24" s="1" t="s">
        <v>16</v>
      </c>
      <c r="H24" s="1">
        <v>2</v>
      </c>
      <c r="I24" s="1">
        <v>11700</v>
      </c>
      <c r="J24" s="1">
        <f t="shared" si="1"/>
        <v>23400</v>
      </c>
    </row>
    <row r="25" spans="1:10" x14ac:dyDescent="0.3">
      <c r="A25" s="2">
        <v>45405</v>
      </c>
      <c r="B25" s="2" t="str">
        <f t="shared" si="0"/>
        <v>April</v>
      </c>
      <c r="C25" s="1" t="s">
        <v>36</v>
      </c>
      <c r="D25" s="1" t="s">
        <v>37</v>
      </c>
      <c r="E25" s="1" t="s">
        <v>29</v>
      </c>
      <c r="F25" s="1" t="s">
        <v>56</v>
      </c>
      <c r="G25" s="1" t="s">
        <v>21</v>
      </c>
      <c r="H25" s="1">
        <v>3</v>
      </c>
      <c r="I25" s="1">
        <v>17800</v>
      </c>
      <c r="J25" s="1">
        <f t="shared" si="1"/>
        <v>53400</v>
      </c>
    </row>
    <row r="26" spans="1:10" x14ac:dyDescent="0.3">
      <c r="A26" s="2">
        <v>45406</v>
      </c>
      <c r="B26" s="2" t="str">
        <f t="shared" si="0"/>
        <v>April</v>
      </c>
      <c r="C26" s="1" t="s">
        <v>39</v>
      </c>
      <c r="D26" s="1" t="s">
        <v>40</v>
      </c>
      <c r="E26" s="1" t="s">
        <v>34</v>
      </c>
      <c r="F26" s="1" t="s">
        <v>57</v>
      </c>
      <c r="G26" s="1" t="s">
        <v>26</v>
      </c>
      <c r="H26" s="1">
        <v>1</v>
      </c>
      <c r="I26" s="1">
        <v>8600</v>
      </c>
      <c r="J26" s="1">
        <f t="shared" si="1"/>
        <v>8600</v>
      </c>
    </row>
    <row r="27" spans="1:10" x14ac:dyDescent="0.3">
      <c r="A27" s="2">
        <v>45407</v>
      </c>
      <c r="B27" s="2" t="str">
        <f t="shared" si="0"/>
        <v>April</v>
      </c>
      <c r="C27" s="1" t="s">
        <v>7</v>
      </c>
      <c r="D27" s="1" t="s">
        <v>8</v>
      </c>
      <c r="E27" s="1" t="s">
        <v>9</v>
      </c>
      <c r="F27" s="1" t="s">
        <v>58</v>
      </c>
      <c r="G27" s="1" t="s">
        <v>31</v>
      </c>
      <c r="H27" s="1">
        <v>5</v>
      </c>
      <c r="I27" s="1">
        <v>15000</v>
      </c>
      <c r="J27" s="1">
        <f t="shared" si="1"/>
        <v>75000</v>
      </c>
    </row>
    <row r="28" spans="1:10" x14ac:dyDescent="0.3">
      <c r="A28" s="2">
        <v>45408</v>
      </c>
      <c r="B28" s="2" t="str">
        <f t="shared" si="0"/>
        <v>April</v>
      </c>
      <c r="C28" s="1" t="s">
        <v>12</v>
      </c>
      <c r="D28" s="1" t="s">
        <v>13</v>
      </c>
      <c r="E28" s="1" t="s">
        <v>14</v>
      </c>
      <c r="F28" s="1" t="s">
        <v>59</v>
      </c>
      <c r="G28" s="1" t="s">
        <v>11</v>
      </c>
      <c r="H28" s="1">
        <v>1</v>
      </c>
      <c r="I28" s="1">
        <v>31800</v>
      </c>
      <c r="J28" s="1">
        <f t="shared" si="1"/>
        <v>31800</v>
      </c>
    </row>
    <row r="29" spans="1:10" x14ac:dyDescent="0.3">
      <c r="A29" s="2">
        <v>45409</v>
      </c>
      <c r="B29" s="2" t="str">
        <f t="shared" si="0"/>
        <v>April</v>
      </c>
      <c r="C29" s="1" t="s">
        <v>17</v>
      </c>
      <c r="D29" s="1" t="s">
        <v>18</v>
      </c>
      <c r="E29" s="1" t="s">
        <v>19</v>
      </c>
      <c r="F29" s="1" t="s">
        <v>60</v>
      </c>
      <c r="G29" s="1" t="s">
        <v>16</v>
      </c>
      <c r="H29" s="1">
        <v>1</v>
      </c>
      <c r="I29" s="1">
        <v>11600</v>
      </c>
      <c r="J29" s="1">
        <f t="shared" si="1"/>
        <v>11600</v>
      </c>
    </row>
    <row r="30" spans="1:10" x14ac:dyDescent="0.3">
      <c r="A30" s="2">
        <v>45410</v>
      </c>
      <c r="B30" s="2" t="str">
        <f t="shared" si="0"/>
        <v>April</v>
      </c>
      <c r="C30" s="1" t="s">
        <v>22</v>
      </c>
      <c r="D30" s="1" t="s">
        <v>23</v>
      </c>
      <c r="E30" s="1" t="s">
        <v>24</v>
      </c>
      <c r="F30" s="1" t="s">
        <v>61</v>
      </c>
      <c r="G30" s="1" t="s">
        <v>21</v>
      </c>
      <c r="H30" s="1">
        <v>2</v>
      </c>
      <c r="I30" s="1">
        <v>18000</v>
      </c>
      <c r="J30" s="1">
        <f t="shared" si="1"/>
        <v>36000</v>
      </c>
    </row>
    <row r="31" spans="1:10" x14ac:dyDescent="0.3">
      <c r="A31" s="2">
        <v>45411</v>
      </c>
      <c r="B31" s="2" t="str">
        <f t="shared" si="0"/>
        <v>April</v>
      </c>
      <c r="C31" s="1" t="s">
        <v>27</v>
      </c>
      <c r="D31" s="1" t="s">
        <v>28</v>
      </c>
      <c r="E31" s="1" t="s">
        <v>29</v>
      </c>
      <c r="F31" s="1" t="s">
        <v>62</v>
      </c>
      <c r="G31" s="1" t="s">
        <v>26</v>
      </c>
      <c r="H31" s="1">
        <v>3</v>
      </c>
      <c r="I31" s="1">
        <v>8900</v>
      </c>
      <c r="J31" s="1">
        <f t="shared" si="1"/>
        <v>26700</v>
      </c>
    </row>
    <row r="32" spans="1:10" x14ac:dyDescent="0.3">
      <c r="A32" s="2">
        <v>45412</v>
      </c>
      <c r="B32" s="2" t="str">
        <f t="shared" si="0"/>
        <v>April</v>
      </c>
      <c r="C32" s="1" t="s">
        <v>32</v>
      </c>
      <c r="D32" s="1" t="s">
        <v>33</v>
      </c>
      <c r="E32" s="1" t="s">
        <v>34</v>
      </c>
      <c r="F32" s="1" t="s">
        <v>63</v>
      </c>
      <c r="G32" s="1" t="s">
        <v>31</v>
      </c>
      <c r="H32" s="1">
        <v>6</v>
      </c>
      <c r="I32" s="1">
        <v>14900</v>
      </c>
      <c r="J32" s="1">
        <f t="shared" si="1"/>
        <v>89400</v>
      </c>
    </row>
    <row r="33" spans="1:10" x14ac:dyDescent="0.3">
      <c r="A33" s="2">
        <v>45413</v>
      </c>
      <c r="B33" s="2" t="str">
        <f t="shared" si="0"/>
        <v>May</v>
      </c>
      <c r="C33" s="1" t="s">
        <v>36</v>
      </c>
      <c r="D33" s="1" t="s">
        <v>37</v>
      </c>
      <c r="E33" s="1" t="s">
        <v>9</v>
      </c>
      <c r="F33" s="1" t="s">
        <v>64</v>
      </c>
      <c r="G33" s="1" t="s">
        <v>11</v>
      </c>
      <c r="H33" s="1">
        <v>2</v>
      </c>
      <c r="I33" s="1">
        <v>32200</v>
      </c>
      <c r="J33" s="1">
        <f t="shared" si="1"/>
        <v>64400</v>
      </c>
    </row>
    <row r="34" spans="1:10" x14ac:dyDescent="0.3">
      <c r="A34" s="2">
        <v>45414</v>
      </c>
      <c r="B34" s="2" t="str">
        <f t="shared" si="0"/>
        <v>May</v>
      </c>
      <c r="C34" s="1" t="s">
        <v>39</v>
      </c>
      <c r="D34" s="1" t="s">
        <v>40</v>
      </c>
      <c r="E34" s="1" t="s">
        <v>14</v>
      </c>
      <c r="F34" s="1" t="s">
        <v>65</v>
      </c>
      <c r="G34" s="1" t="s">
        <v>16</v>
      </c>
      <c r="H34" s="1">
        <v>1</v>
      </c>
      <c r="I34" s="1">
        <v>12000</v>
      </c>
      <c r="J34" s="1">
        <f t="shared" si="1"/>
        <v>12000</v>
      </c>
    </row>
    <row r="35" spans="1:10" x14ac:dyDescent="0.3">
      <c r="A35" s="2">
        <v>45415</v>
      </c>
      <c r="B35" s="2" t="str">
        <f t="shared" si="0"/>
        <v>May</v>
      </c>
      <c r="C35" s="1" t="s">
        <v>7</v>
      </c>
      <c r="D35" s="1" t="s">
        <v>8</v>
      </c>
      <c r="E35" s="1" t="s">
        <v>19</v>
      </c>
      <c r="F35" s="1" t="s">
        <v>42</v>
      </c>
      <c r="G35" s="1" t="s">
        <v>21</v>
      </c>
      <c r="H35" s="1">
        <v>2</v>
      </c>
      <c r="I35" s="1">
        <v>17900</v>
      </c>
      <c r="J35" s="1">
        <f t="shared" si="1"/>
        <v>35800</v>
      </c>
    </row>
    <row r="36" spans="1:10" x14ac:dyDescent="0.3">
      <c r="A36" s="2">
        <v>45416</v>
      </c>
      <c r="B36" s="2" t="str">
        <f t="shared" si="0"/>
        <v>May</v>
      </c>
      <c r="C36" s="1" t="s">
        <v>12</v>
      </c>
      <c r="D36" s="1" t="s">
        <v>13</v>
      </c>
      <c r="E36" s="1" t="s">
        <v>24</v>
      </c>
      <c r="F36" s="1" t="s">
        <v>25</v>
      </c>
      <c r="G36" s="1" t="s">
        <v>26</v>
      </c>
      <c r="H36" s="1">
        <v>3</v>
      </c>
      <c r="I36" s="1">
        <v>9100</v>
      </c>
      <c r="J36" s="1">
        <f t="shared" si="1"/>
        <v>27300</v>
      </c>
    </row>
    <row r="37" spans="1:10" x14ac:dyDescent="0.3">
      <c r="A37" s="2">
        <v>45417</v>
      </c>
      <c r="B37" s="2" t="str">
        <f t="shared" si="0"/>
        <v>May</v>
      </c>
      <c r="C37" s="1" t="s">
        <v>17</v>
      </c>
      <c r="D37" s="1" t="s">
        <v>18</v>
      </c>
      <c r="E37" s="1" t="s">
        <v>29</v>
      </c>
      <c r="F37" s="1" t="s">
        <v>30</v>
      </c>
      <c r="G37" s="1" t="s">
        <v>31</v>
      </c>
      <c r="H37" s="1">
        <v>8</v>
      </c>
      <c r="I37" s="1">
        <v>15100</v>
      </c>
      <c r="J37" s="1">
        <f t="shared" si="1"/>
        <v>120800</v>
      </c>
    </row>
    <row r="38" spans="1:10" x14ac:dyDescent="0.3">
      <c r="A38" s="2">
        <v>45418</v>
      </c>
      <c r="B38" s="2" t="str">
        <f t="shared" si="0"/>
        <v>May</v>
      </c>
      <c r="C38" s="1" t="s">
        <v>22</v>
      </c>
      <c r="D38" s="1" t="s">
        <v>23</v>
      </c>
      <c r="E38" s="1" t="s">
        <v>34</v>
      </c>
      <c r="F38" s="1" t="s">
        <v>35</v>
      </c>
      <c r="G38" s="1" t="s">
        <v>11</v>
      </c>
      <c r="H38" s="1">
        <v>6</v>
      </c>
      <c r="I38" s="1">
        <v>31900</v>
      </c>
      <c r="J38" s="1">
        <f t="shared" si="1"/>
        <v>191400</v>
      </c>
    </row>
    <row r="39" spans="1:10" x14ac:dyDescent="0.3">
      <c r="A39" s="2">
        <v>45419</v>
      </c>
      <c r="B39" s="2" t="str">
        <f t="shared" si="0"/>
        <v>May</v>
      </c>
      <c r="C39" s="1" t="s">
        <v>27</v>
      </c>
      <c r="D39" s="1" t="s">
        <v>28</v>
      </c>
      <c r="E39" s="1" t="s">
        <v>9</v>
      </c>
      <c r="F39" s="1" t="s">
        <v>38</v>
      </c>
      <c r="G39" s="1" t="s">
        <v>16</v>
      </c>
      <c r="H39" s="1">
        <v>2</v>
      </c>
      <c r="I39" s="1">
        <v>11700</v>
      </c>
      <c r="J39" s="1">
        <f t="shared" si="1"/>
        <v>23400</v>
      </c>
    </row>
    <row r="40" spans="1:10" x14ac:dyDescent="0.3">
      <c r="A40" s="2">
        <v>45420</v>
      </c>
      <c r="B40" s="2" t="str">
        <f t="shared" si="0"/>
        <v>May</v>
      </c>
      <c r="C40" s="1" t="s">
        <v>32</v>
      </c>
      <c r="D40" s="1" t="s">
        <v>33</v>
      </c>
      <c r="E40" s="1" t="s">
        <v>14</v>
      </c>
      <c r="F40" s="1" t="s">
        <v>41</v>
      </c>
      <c r="G40" s="1" t="s">
        <v>21</v>
      </c>
      <c r="H40" s="1">
        <v>2</v>
      </c>
      <c r="I40" s="1">
        <v>17600</v>
      </c>
      <c r="J40" s="1">
        <f t="shared" si="1"/>
        <v>35200</v>
      </c>
    </row>
    <row r="41" spans="1:10" x14ac:dyDescent="0.3">
      <c r="A41" s="2">
        <v>45421</v>
      </c>
      <c r="B41" s="2" t="str">
        <f t="shared" si="0"/>
        <v>May</v>
      </c>
      <c r="C41" s="1" t="s">
        <v>36</v>
      </c>
      <c r="D41" s="1" t="s">
        <v>37</v>
      </c>
      <c r="E41" s="1" t="s">
        <v>19</v>
      </c>
      <c r="F41" s="1" t="s">
        <v>20</v>
      </c>
      <c r="G41" s="1" t="s">
        <v>26</v>
      </c>
      <c r="H41" s="1">
        <v>2</v>
      </c>
      <c r="I41" s="1">
        <v>8800</v>
      </c>
      <c r="J41" s="1">
        <f t="shared" si="1"/>
        <v>17600</v>
      </c>
    </row>
    <row r="42" spans="1:10" x14ac:dyDescent="0.3">
      <c r="A42" s="2">
        <v>45422</v>
      </c>
      <c r="B42" s="2" t="str">
        <f t="shared" si="0"/>
        <v>May</v>
      </c>
      <c r="C42" s="1" t="s">
        <v>39</v>
      </c>
      <c r="D42" s="1" t="s">
        <v>40</v>
      </c>
      <c r="E42" s="1" t="s">
        <v>24</v>
      </c>
      <c r="F42" s="1" t="s">
        <v>43</v>
      </c>
      <c r="G42" s="1" t="s">
        <v>31</v>
      </c>
      <c r="H42" s="1">
        <v>4</v>
      </c>
      <c r="I42" s="1">
        <v>14900</v>
      </c>
      <c r="J42" s="1">
        <f t="shared" si="1"/>
        <v>59600</v>
      </c>
    </row>
    <row r="43" spans="1:10" x14ac:dyDescent="0.3">
      <c r="A43" s="2">
        <v>45423</v>
      </c>
      <c r="B43" s="2" t="str">
        <f t="shared" si="0"/>
        <v>May</v>
      </c>
      <c r="C43" s="1" t="s">
        <v>7</v>
      </c>
      <c r="D43" s="1" t="s">
        <v>8</v>
      </c>
      <c r="E43" s="1" t="s">
        <v>29</v>
      </c>
      <c r="F43" s="1" t="s">
        <v>44</v>
      </c>
      <c r="G43" s="1" t="s">
        <v>11</v>
      </c>
      <c r="H43" s="1">
        <v>1</v>
      </c>
      <c r="I43" s="1">
        <v>32800</v>
      </c>
      <c r="J43" s="1">
        <f t="shared" si="1"/>
        <v>32800</v>
      </c>
    </row>
    <row r="44" spans="1:10" x14ac:dyDescent="0.3">
      <c r="A44" s="2">
        <v>45424</v>
      </c>
      <c r="B44" s="2" t="str">
        <f t="shared" si="0"/>
        <v>May</v>
      </c>
      <c r="C44" s="1" t="s">
        <v>12</v>
      </c>
      <c r="D44" s="1" t="s">
        <v>13</v>
      </c>
      <c r="E44" s="1" t="s">
        <v>34</v>
      </c>
      <c r="F44" s="1" t="s">
        <v>45</v>
      </c>
      <c r="G44" s="1" t="s">
        <v>16</v>
      </c>
      <c r="H44" s="1">
        <v>1</v>
      </c>
      <c r="I44" s="1">
        <v>11800</v>
      </c>
      <c r="J44" s="1">
        <f t="shared" si="1"/>
        <v>11800</v>
      </c>
    </row>
    <row r="45" spans="1:10" x14ac:dyDescent="0.3">
      <c r="A45" s="2">
        <v>45425</v>
      </c>
      <c r="B45" s="2" t="str">
        <f t="shared" si="0"/>
        <v>May</v>
      </c>
      <c r="C45" s="1" t="s">
        <v>17</v>
      </c>
      <c r="D45" s="1" t="s">
        <v>18</v>
      </c>
      <c r="E45" s="1" t="s">
        <v>9</v>
      </c>
      <c r="F45" s="1" t="s">
        <v>46</v>
      </c>
      <c r="G45" s="1" t="s">
        <v>21</v>
      </c>
      <c r="H45" s="1">
        <v>2</v>
      </c>
      <c r="I45" s="1">
        <v>18300</v>
      </c>
      <c r="J45" s="1">
        <f t="shared" si="1"/>
        <v>36600</v>
      </c>
    </row>
    <row r="46" spans="1:10" x14ac:dyDescent="0.3">
      <c r="A46" s="2">
        <v>45426</v>
      </c>
      <c r="B46" s="2" t="str">
        <f t="shared" si="0"/>
        <v>May</v>
      </c>
      <c r="C46" s="1" t="s">
        <v>22</v>
      </c>
      <c r="D46" s="1" t="s">
        <v>23</v>
      </c>
      <c r="E46" s="1" t="s">
        <v>14</v>
      </c>
      <c r="F46" s="1" t="s">
        <v>47</v>
      </c>
      <c r="G46" s="1" t="s">
        <v>26</v>
      </c>
      <c r="H46" s="1">
        <v>1</v>
      </c>
      <c r="I46" s="1">
        <v>8700</v>
      </c>
      <c r="J46" s="1">
        <f t="shared" si="1"/>
        <v>8700</v>
      </c>
    </row>
    <row r="47" spans="1:10" x14ac:dyDescent="0.3">
      <c r="A47" s="2">
        <v>45427</v>
      </c>
      <c r="B47" s="2" t="str">
        <f t="shared" si="0"/>
        <v>May</v>
      </c>
      <c r="C47" s="1" t="s">
        <v>27</v>
      </c>
      <c r="D47" s="1" t="s">
        <v>28</v>
      </c>
      <c r="E47" s="1" t="s">
        <v>19</v>
      </c>
      <c r="F47" s="1" t="s">
        <v>48</v>
      </c>
      <c r="G47" s="1" t="s">
        <v>31</v>
      </c>
      <c r="H47" s="1">
        <v>2</v>
      </c>
      <c r="I47" s="1">
        <v>15200</v>
      </c>
      <c r="J47" s="1">
        <f t="shared" si="1"/>
        <v>30400</v>
      </c>
    </row>
    <row r="48" spans="1:10" x14ac:dyDescent="0.3">
      <c r="A48" s="2">
        <v>45428</v>
      </c>
      <c r="B48" s="2" t="str">
        <f t="shared" si="0"/>
        <v>May</v>
      </c>
      <c r="C48" s="1" t="s">
        <v>32</v>
      </c>
      <c r="D48" s="1" t="s">
        <v>33</v>
      </c>
      <c r="E48" s="1" t="s">
        <v>24</v>
      </c>
      <c r="F48" s="1" t="s">
        <v>49</v>
      </c>
      <c r="G48" s="1" t="s">
        <v>11</v>
      </c>
      <c r="H48" s="1">
        <v>4</v>
      </c>
      <c r="I48" s="1">
        <v>31600</v>
      </c>
      <c r="J48" s="1">
        <f t="shared" si="1"/>
        <v>126400</v>
      </c>
    </row>
    <row r="49" spans="1:10" x14ac:dyDescent="0.3">
      <c r="A49" s="2">
        <v>45429</v>
      </c>
      <c r="B49" s="2" t="str">
        <f t="shared" si="0"/>
        <v>May</v>
      </c>
      <c r="C49" s="1" t="s">
        <v>36</v>
      </c>
      <c r="D49" s="1" t="s">
        <v>37</v>
      </c>
      <c r="E49" s="1" t="s">
        <v>29</v>
      </c>
      <c r="F49" s="1" t="s">
        <v>50</v>
      </c>
      <c r="G49" s="1" t="s">
        <v>16</v>
      </c>
      <c r="H49" s="1">
        <v>1</v>
      </c>
      <c r="I49" s="1">
        <v>11900</v>
      </c>
      <c r="J49" s="1">
        <f t="shared" si="1"/>
        <v>11900</v>
      </c>
    </row>
    <row r="50" spans="1:10" x14ac:dyDescent="0.3">
      <c r="A50" s="2">
        <v>45430</v>
      </c>
      <c r="B50" s="2" t="str">
        <f t="shared" si="0"/>
        <v>May</v>
      </c>
      <c r="C50" s="1" t="s">
        <v>39</v>
      </c>
      <c r="D50" s="1" t="s">
        <v>40</v>
      </c>
      <c r="E50" s="1" t="s">
        <v>34</v>
      </c>
      <c r="F50" s="1" t="s">
        <v>51</v>
      </c>
      <c r="G50" s="1" t="s">
        <v>21</v>
      </c>
      <c r="H50" s="1">
        <v>1</v>
      </c>
      <c r="I50" s="1">
        <v>18100</v>
      </c>
      <c r="J50" s="1">
        <f t="shared" si="1"/>
        <v>18100</v>
      </c>
    </row>
    <row r="51" spans="1:10" x14ac:dyDescent="0.3">
      <c r="A51" s="2">
        <v>45431</v>
      </c>
      <c r="B51" s="2" t="str">
        <f t="shared" si="0"/>
        <v>May</v>
      </c>
      <c r="C51" s="1" t="s">
        <v>7</v>
      </c>
      <c r="D51" s="1" t="s">
        <v>8</v>
      </c>
      <c r="E51" s="1" t="s">
        <v>9</v>
      </c>
      <c r="F51" s="1" t="s">
        <v>52</v>
      </c>
      <c r="G51" s="1" t="s">
        <v>26</v>
      </c>
      <c r="H51" s="1">
        <v>3</v>
      </c>
      <c r="I51" s="1">
        <v>8600</v>
      </c>
      <c r="J51" s="1">
        <f t="shared" si="1"/>
        <v>25800</v>
      </c>
    </row>
    <row r="52" spans="1:10" x14ac:dyDescent="0.3">
      <c r="A52" s="2">
        <v>45432</v>
      </c>
      <c r="B52" s="2" t="str">
        <f t="shared" si="0"/>
        <v>May</v>
      </c>
      <c r="C52" s="1" t="s">
        <v>12</v>
      </c>
      <c r="D52" s="1" t="s">
        <v>13</v>
      </c>
      <c r="E52" s="1" t="s">
        <v>14</v>
      </c>
      <c r="F52" s="1" t="s">
        <v>53</v>
      </c>
      <c r="G52" s="1" t="s">
        <v>31</v>
      </c>
      <c r="H52" s="1">
        <v>7</v>
      </c>
      <c r="I52" s="1">
        <v>14700</v>
      </c>
      <c r="J52" s="1">
        <f t="shared" si="1"/>
        <v>102900</v>
      </c>
    </row>
    <row r="53" spans="1:10" x14ac:dyDescent="0.3">
      <c r="A53" s="2">
        <v>45433</v>
      </c>
      <c r="B53" s="2" t="str">
        <f t="shared" si="0"/>
        <v>May</v>
      </c>
      <c r="C53" s="1" t="s">
        <v>17</v>
      </c>
      <c r="D53" s="1" t="s">
        <v>18</v>
      </c>
      <c r="E53" s="1" t="s">
        <v>19</v>
      </c>
      <c r="F53" s="1" t="s">
        <v>54</v>
      </c>
      <c r="G53" s="1" t="s">
        <v>11</v>
      </c>
      <c r="H53" s="1">
        <v>5</v>
      </c>
      <c r="I53" s="1">
        <v>33100</v>
      </c>
      <c r="J53" s="1">
        <f t="shared" si="1"/>
        <v>165500</v>
      </c>
    </row>
    <row r="54" spans="1:10" x14ac:dyDescent="0.3">
      <c r="A54" s="2">
        <v>45434</v>
      </c>
      <c r="B54" s="2" t="str">
        <f t="shared" si="0"/>
        <v>May</v>
      </c>
      <c r="C54" s="1" t="s">
        <v>22</v>
      </c>
      <c r="D54" s="1" t="s">
        <v>23</v>
      </c>
      <c r="E54" s="1" t="s">
        <v>24</v>
      </c>
      <c r="F54" s="1" t="s">
        <v>55</v>
      </c>
      <c r="G54" s="1" t="s">
        <v>16</v>
      </c>
      <c r="H54" s="1">
        <v>2</v>
      </c>
      <c r="I54" s="1">
        <v>11600</v>
      </c>
      <c r="J54" s="1">
        <f t="shared" si="1"/>
        <v>23200</v>
      </c>
    </row>
    <row r="55" spans="1:10" x14ac:dyDescent="0.3">
      <c r="A55" s="2">
        <v>45435</v>
      </c>
      <c r="B55" s="2" t="str">
        <f t="shared" si="0"/>
        <v>May</v>
      </c>
      <c r="C55" s="1" t="s">
        <v>27</v>
      </c>
      <c r="D55" s="1" t="s">
        <v>28</v>
      </c>
      <c r="E55" s="1" t="s">
        <v>29</v>
      </c>
      <c r="F55" s="1" t="s">
        <v>56</v>
      </c>
      <c r="G55" s="1" t="s">
        <v>21</v>
      </c>
      <c r="H55" s="1">
        <v>3</v>
      </c>
      <c r="I55" s="1">
        <v>17700</v>
      </c>
      <c r="J55" s="1">
        <f t="shared" si="1"/>
        <v>53100</v>
      </c>
    </row>
    <row r="56" spans="1:10" x14ac:dyDescent="0.3">
      <c r="A56" s="2">
        <v>45436</v>
      </c>
      <c r="B56" s="2" t="str">
        <f t="shared" si="0"/>
        <v>May</v>
      </c>
      <c r="C56" s="1" t="s">
        <v>32</v>
      </c>
      <c r="D56" s="1" t="s">
        <v>33</v>
      </c>
      <c r="E56" s="1" t="s">
        <v>34</v>
      </c>
      <c r="F56" s="1" t="s">
        <v>57</v>
      </c>
      <c r="G56" s="1" t="s">
        <v>26</v>
      </c>
      <c r="H56" s="1">
        <v>1</v>
      </c>
      <c r="I56" s="1">
        <v>8500</v>
      </c>
      <c r="J56" s="1">
        <f t="shared" si="1"/>
        <v>8500</v>
      </c>
    </row>
    <row r="57" spans="1:10" x14ac:dyDescent="0.3">
      <c r="A57" s="2">
        <v>45437</v>
      </c>
      <c r="B57" s="2" t="str">
        <f t="shared" si="0"/>
        <v>May</v>
      </c>
      <c r="C57" s="1" t="s">
        <v>36</v>
      </c>
      <c r="D57" s="1" t="s">
        <v>37</v>
      </c>
      <c r="E57" s="1" t="s">
        <v>9</v>
      </c>
      <c r="F57" s="1" t="s">
        <v>58</v>
      </c>
      <c r="G57" s="1" t="s">
        <v>31</v>
      </c>
      <c r="H57" s="1">
        <v>2</v>
      </c>
      <c r="I57" s="1">
        <v>15000</v>
      </c>
      <c r="J57" s="1">
        <f t="shared" si="1"/>
        <v>30000</v>
      </c>
    </row>
    <row r="58" spans="1:10" x14ac:dyDescent="0.3">
      <c r="A58" s="2">
        <v>45438</v>
      </c>
      <c r="B58" s="2" t="str">
        <f t="shared" si="0"/>
        <v>May</v>
      </c>
      <c r="C58" s="1" t="s">
        <v>39</v>
      </c>
      <c r="D58" s="1" t="s">
        <v>40</v>
      </c>
      <c r="E58" s="1" t="s">
        <v>14</v>
      </c>
      <c r="F58" s="1" t="s">
        <v>59</v>
      </c>
      <c r="G58" s="1" t="s">
        <v>11</v>
      </c>
      <c r="H58" s="1">
        <v>4</v>
      </c>
      <c r="I58" s="1">
        <v>31700</v>
      </c>
      <c r="J58" s="1">
        <f t="shared" si="1"/>
        <v>126800</v>
      </c>
    </row>
    <row r="59" spans="1:10" x14ac:dyDescent="0.3">
      <c r="A59" s="2">
        <v>45438</v>
      </c>
      <c r="B59" s="2" t="str">
        <f t="shared" si="0"/>
        <v>May</v>
      </c>
      <c r="C59" s="1" t="s">
        <v>32</v>
      </c>
      <c r="D59" s="1" t="s">
        <v>33</v>
      </c>
      <c r="E59" s="1" t="s">
        <v>14</v>
      </c>
      <c r="F59" s="1" t="s">
        <v>59</v>
      </c>
      <c r="G59" s="1" t="s">
        <v>26</v>
      </c>
      <c r="H59" s="1">
        <v>1</v>
      </c>
      <c r="I59" s="1">
        <v>8500</v>
      </c>
      <c r="J59" s="1">
        <f t="shared" si="1"/>
        <v>8500</v>
      </c>
    </row>
    <row r="60" spans="1:10" x14ac:dyDescent="0.3">
      <c r="A60" s="2">
        <v>45438</v>
      </c>
      <c r="B60" s="2" t="str">
        <f t="shared" si="0"/>
        <v>May</v>
      </c>
      <c r="C60" s="1" t="s">
        <v>22</v>
      </c>
      <c r="D60" s="1" t="s">
        <v>23</v>
      </c>
      <c r="E60" s="1" t="s">
        <v>24</v>
      </c>
      <c r="F60" s="1" t="s">
        <v>55</v>
      </c>
      <c r="G60" s="1" t="s">
        <v>16</v>
      </c>
      <c r="H60" s="1">
        <v>2</v>
      </c>
      <c r="I60" s="1">
        <v>11600</v>
      </c>
      <c r="J60" s="1">
        <f t="shared" si="1"/>
        <v>23200</v>
      </c>
    </row>
    <row r="61" spans="1:10" x14ac:dyDescent="0.3">
      <c r="A61" s="2">
        <v>45439</v>
      </c>
      <c r="B61" s="2" t="str">
        <f t="shared" si="0"/>
        <v>May</v>
      </c>
      <c r="C61" s="1" t="s">
        <v>7</v>
      </c>
      <c r="D61" s="1" t="s">
        <v>8</v>
      </c>
      <c r="E61" s="1" t="s">
        <v>29</v>
      </c>
      <c r="F61" s="1" t="s">
        <v>62</v>
      </c>
      <c r="G61" s="1" t="s">
        <v>16</v>
      </c>
      <c r="H61" s="1">
        <v>1</v>
      </c>
      <c r="I61" s="1">
        <v>11500</v>
      </c>
      <c r="J61" s="1">
        <f t="shared" si="1"/>
        <v>11500</v>
      </c>
    </row>
    <row r="62" spans="1:10" x14ac:dyDescent="0.3">
      <c r="A62" s="2">
        <v>45439</v>
      </c>
      <c r="B62" s="2" t="str">
        <f t="shared" si="0"/>
        <v>May</v>
      </c>
      <c r="C62" s="1" t="s">
        <v>7</v>
      </c>
      <c r="D62" s="1" t="s">
        <v>8</v>
      </c>
      <c r="E62" s="1" t="s">
        <v>19</v>
      </c>
      <c r="F62" s="1" t="s">
        <v>60</v>
      </c>
      <c r="G62" s="1" t="s">
        <v>16</v>
      </c>
      <c r="H62" s="1">
        <v>1</v>
      </c>
      <c r="I62" s="1">
        <v>11500</v>
      </c>
      <c r="J62" s="1">
        <f t="shared" si="1"/>
        <v>11500</v>
      </c>
    </row>
    <row r="63" spans="1:10" x14ac:dyDescent="0.3">
      <c r="A63" s="2">
        <v>45440</v>
      </c>
      <c r="B63" s="2" t="str">
        <f t="shared" si="0"/>
        <v>May</v>
      </c>
      <c r="C63" s="1" t="s">
        <v>12</v>
      </c>
      <c r="D63" s="1" t="s">
        <v>13</v>
      </c>
      <c r="E63" s="1" t="s">
        <v>24</v>
      </c>
      <c r="F63" s="1" t="s">
        <v>61</v>
      </c>
      <c r="G63" s="1" t="s">
        <v>21</v>
      </c>
      <c r="H63" s="1">
        <v>2</v>
      </c>
      <c r="I63" s="1">
        <v>17900</v>
      </c>
      <c r="J63" s="1">
        <f t="shared" si="1"/>
        <v>35800</v>
      </c>
    </row>
    <row r="64" spans="1:10" x14ac:dyDescent="0.3">
      <c r="A64" s="2">
        <v>45441</v>
      </c>
      <c r="B64" s="2" t="str">
        <f t="shared" si="0"/>
        <v>May</v>
      </c>
      <c r="C64" s="1" t="s">
        <v>17</v>
      </c>
      <c r="D64" s="1" t="s">
        <v>18</v>
      </c>
      <c r="E64" s="1" t="s">
        <v>29</v>
      </c>
      <c r="F64" s="1" t="s">
        <v>62</v>
      </c>
      <c r="G64" s="1" t="s">
        <v>26</v>
      </c>
      <c r="H64" s="1">
        <v>3</v>
      </c>
      <c r="I64" s="1">
        <v>8900</v>
      </c>
      <c r="J64" s="1">
        <f t="shared" si="1"/>
        <v>26700</v>
      </c>
    </row>
    <row r="65" spans="1:10" x14ac:dyDescent="0.3">
      <c r="A65" s="2">
        <v>45442</v>
      </c>
      <c r="B65" s="2" t="str">
        <f t="shared" si="0"/>
        <v>May</v>
      </c>
      <c r="C65" s="1" t="s">
        <v>22</v>
      </c>
      <c r="D65" s="1" t="s">
        <v>23</v>
      </c>
      <c r="E65" s="1" t="s">
        <v>34</v>
      </c>
      <c r="F65" s="1" t="s">
        <v>63</v>
      </c>
      <c r="G65" s="1" t="s">
        <v>31</v>
      </c>
      <c r="H65" s="1">
        <v>2</v>
      </c>
      <c r="I65" s="1">
        <v>14900</v>
      </c>
      <c r="J65" s="1">
        <f t="shared" si="1"/>
        <v>29800</v>
      </c>
    </row>
    <row r="66" spans="1:10" x14ac:dyDescent="0.3">
      <c r="A66" s="2">
        <v>45443</v>
      </c>
      <c r="B66" s="2" t="str">
        <f t="shared" si="0"/>
        <v>May</v>
      </c>
      <c r="C66" s="1" t="s">
        <v>27</v>
      </c>
      <c r="D66" s="1" t="s">
        <v>28</v>
      </c>
      <c r="E66" s="1" t="s">
        <v>9</v>
      </c>
      <c r="F66" s="1" t="s">
        <v>64</v>
      </c>
      <c r="G66" s="1" t="s">
        <v>11</v>
      </c>
      <c r="H66" s="1">
        <v>5</v>
      </c>
      <c r="I66" s="1">
        <v>32200</v>
      </c>
      <c r="J66" s="1">
        <f t="shared" si="1"/>
        <v>161000</v>
      </c>
    </row>
    <row r="67" spans="1:10" x14ac:dyDescent="0.3">
      <c r="A67" s="2">
        <v>45443</v>
      </c>
      <c r="B67" s="2" t="str">
        <f t="shared" si="0"/>
        <v>May</v>
      </c>
      <c r="C67" s="1" t="s">
        <v>12</v>
      </c>
      <c r="D67" s="1" t="s">
        <v>13</v>
      </c>
      <c r="E67" s="1" t="s">
        <v>14</v>
      </c>
      <c r="F67" s="1" t="s">
        <v>59</v>
      </c>
      <c r="G67" s="1" t="s">
        <v>11</v>
      </c>
      <c r="H67" s="1">
        <v>6</v>
      </c>
      <c r="I67" s="1">
        <v>31700</v>
      </c>
      <c r="J67" s="1">
        <f t="shared" si="1"/>
        <v>190200</v>
      </c>
    </row>
    <row r="68" spans="1:10" x14ac:dyDescent="0.3">
      <c r="A68" s="2">
        <v>45444</v>
      </c>
      <c r="B68" s="2" t="str">
        <f t="shared" ref="B68:B131" si="2">TEXT(A68,"mmmm")</f>
        <v>June</v>
      </c>
      <c r="C68" s="1" t="s">
        <v>17</v>
      </c>
      <c r="D68" s="1" t="s">
        <v>18</v>
      </c>
      <c r="E68" s="1" t="s">
        <v>19</v>
      </c>
      <c r="F68" s="1" t="s">
        <v>60</v>
      </c>
      <c r="G68" s="1" t="s">
        <v>16</v>
      </c>
      <c r="H68" s="1">
        <v>1</v>
      </c>
      <c r="I68" s="1">
        <v>11500</v>
      </c>
      <c r="J68" s="1">
        <f t="shared" ref="J68:J131" si="3">I68*H68</f>
        <v>11500</v>
      </c>
    </row>
    <row r="69" spans="1:10" x14ac:dyDescent="0.3">
      <c r="A69" s="2">
        <v>45445</v>
      </c>
      <c r="B69" s="2" t="str">
        <f t="shared" si="2"/>
        <v>June</v>
      </c>
      <c r="C69" s="1" t="s">
        <v>22</v>
      </c>
      <c r="D69" s="1" t="s">
        <v>23</v>
      </c>
      <c r="E69" s="1" t="s">
        <v>24</v>
      </c>
      <c r="F69" s="1" t="s">
        <v>61</v>
      </c>
      <c r="G69" s="1" t="s">
        <v>21</v>
      </c>
      <c r="H69" s="1">
        <v>2</v>
      </c>
      <c r="I69" s="1">
        <v>17900</v>
      </c>
      <c r="J69" s="1">
        <f t="shared" si="3"/>
        <v>35800</v>
      </c>
    </row>
    <row r="70" spans="1:10" x14ac:dyDescent="0.3">
      <c r="A70" s="2">
        <v>45446</v>
      </c>
      <c r="B70" s="2" t="str">
        <f t="shared" si="2"/>
        <v>June</v>
      </c>
      <c r="C70" s="1" t="s">
        <v>27</v>
      </c>
      <c r="D70" s="1" t="s">
        <v>28</v>
      </c>
      <c r="E70" s="1" t="s">
        <v>29</v>
      </c>
      <c r="F70" s="1" t="s">
        <v>62</v>
      </c>
      <c r="G70" s="1" t="s">
        <v>26</v>
      </c>
      <c r="H70" s="1">
        <v>3</v>
      </c>
      <c r="I70" s="1">
        <v>8900</v>
      </c>
      <c r="J70" s="1">
        <f t="shared" si="3"/>
        <v>26700</v>
      </c>
    </row>
    <row r="71" spans="1:10" x14ac:dyDescent="0.3">
      <c r="A71" s="2">
        <v>45447</v>
      </c>
      <c r="B71" s="2" t="str">
        <f t="shared" si="2"/>
        <v>June</v>
      </c>
      <c r="C71" s="1" t="s">
        <v>32</v>
      </c>
      <c r="D71" s="1" t="s">
        <v>33</v>
      </c>
      <c r="E71" s="1" t="s">
        <v>34</v>
      </c>
      <c r="F71" s="1" t="s">
        <v>63</v>
      </c>
      <c r="G71" s="1" t="s">
        <v>31</v>
      </c>
      <c r="H71" s="1">
        <v>3</v>
      </c>
      <c r="I71" s="1">
        <v>14900</v>
      </c>
      <c r="J71" s="1">
        <f t="shared" si="3"/>
        <v>44700</v>
      </c>
    </row>
    <row r="72" spans="1:10" x14ac:dyDescent="0.3">
      <c r="A72" s="2">
        <v>45448</v>
      </c>
      <c r="B72" s="2" t="str">
        <f t="shared" si="2"/>
        <v>June</v>
      </c>
      <c r="C72" s="1" t="s">
        <v>36</v>
      </c>
      <c r="D72" s="1" t="s">
        <v>37</v>
      </c>
      <c r="E72" s="1" t="s">
        <v>9</v>
      </c>
      <c r="F72" s="1" t="s">
        <v>64</v>
      </c>
      <c r="G72" s="1" t="s">
        <v>11</v>
      </c>
      <c r="H72" s="1">
        <v>8</v>
      </c>
      <c r="I72" s="1">
        <v>32200</v>
      </c>
      <c r="J72" s="1">
        <f t="shared" si="3"/>
        <v>257600</v>
      </c>
    </row>
    <row r="73" spans="1:10" x14ac:dyDescent="0.3">
      <c r="A73" s="2">
        <v>45449</v>
      </c>
      <c r="B73" s="2" t="str">
        <f t="shared" si="2"/>
        <v>June</v>
      </c>
      <c r="C73" s="1" t="s">
        <v>39</v>
      </c>
      <c r="D73" s="1" t="s">
        <v>40</v>
      </c>
      <c r="E73" s="1" t="s">
        <v>14</v>
      </c>
      <c r="F73" s="1" t="s">
        <v>65</v>
      </c>
      <c r="G73" s="1" t="s">
        <v>16</v>
      </c>
      <c r="H73" s="1">
        <v>1</v>
      </c>
      <c r="I73" s="1">
        <v>12000</v>
      </c>
      <c r="J73" s="1">
        <f t="shared" si="3"/>
        <v>12000</v>
      </c>
    </row>
    <row r="74" spans="1:10" x14ac:dyDescent="0.3">
      <c r="A74" s="2">
        <v>45450</v>
      </c>
      <c r="B74" s="2" t="str">
        <f t="shared" si="2"/>
        <v>June</v>
      </c>
      <c r="C74" s="1" t="s">
        <v>7</v>
      </c>
      <c r="D74" s="1" t="s">
        <v>8</v>
      </c>
      <c r="E74" s="1" t="s">
        <v>19</v>
      </c>
      <c r="F74" s="1" t="s">
        <v>42</v>
      </c>
      <c r="G74" s="1" t="s">
        <v>21</v>
      </c>
      <c r="H74" s="1">
        <v>2</v>
      </c>
      <c r="I74" s="1">
        <v>17900</v>
      </c>
      <c r="J74" s="1">
        <f t="shared" si="3"/>
        <v>35800</v>
      </c>
    </row>
    <row r="75" spans="1:10" x14ac:dyDescent="0.3">
      <c r="A75" s="2">
        <v>45451</v>
      </c>
      <c r="B75" s="2" t="str">
        <f t="shared" si="2"/>
        <v>June</v>
      </c>
      <c r="C75" s="1" t="s">
        <v>12</v>
      </c>
      <c r="D75" s="1" t="s">
        <v>13</v>
      </c>
      <c r="E75" s="1" t="s">
        <v>24</v>
      </c>
      <c r="F75" s="1" t="s">
        <v>25</v>
      </c>
      <c r="G75" s="1" t="s">
        <v>26</v>
      </c>
      <c r="H75" s="1">
        <v>3</v>
      </c>
      <c r="I75" s="1">
        <v>9100</v>
      </c>
      <c r="J75" s="1">
        <f t="shared" si="3"/>
        <v>27300</v>
      </c>
    </row>
    <row r="76" spans="1:10" x14ac:dyDescent="0.3">
      <c r="A76" s="2">
        <v>45452</v>
      </c>
      <c r="B76" s="2" t="str">
        <f t="shared" si="2"/>
        <v>June</v>
      </c>
      <c r="C76" s="1" t="s">
        <v>17</v>
      </c>
      <c r="D76" s="1" t="s">
        <v>18</v>
      </c>
      <c r="E76" s="1" t="s">
        <v>29</v>
      </c>
      <c r="F76" s="1" t="s">
        <v>30</v>
      </c>
      <c r="G76" s="1" t="s">
        <v>31</v>
      </c>
      <c r="H76" s="1">
        <v>2</v>
      </c>
      <c r="I76" s="1">
        <v>15100</v>
      </c>
      <c r="J76" s="1">
        <f t="shared" si="3"/>
        <v>30200</v>
      </c>
    </row>
    <row r="77" spans="1:10" x14ac:dyDescent="0.3">
      <c r="A77" s="2">
        <v>45453</v>
      </c>
      <c r="B77" s="2" t="str">
        <f t="shared" si="2"/>
        <v>June</v>
      </c>
      <c r="C77" s="1" t="s">
        <v>22</v>
      </c>
      <c r="D77" s="1" t="s">
        <v>23</v>
      </c>
      <c r="E77" s="1" t="s">
        <v>34</v>
      </c>
      <c r="F77" s="1" t="s">
        <v>35</v>
      </c>
      <c r="G77" s="1" t="s">
        <v>11</v>
      </c>
      <c r="H77" s="1">
        <v>9</v>
      </c>
      <c r="I77" s="1">
        <v>31900</v>
      </c>
      <c r="J77" s="1">
        <f t="shared" si="3"/>
        <v>287100</v>
      </c>
    </row>
    <row r="78" spans="1:10" x14ac:dyDescent="0.3">
      <c r="A78" s="2">
        <v>45454</v>
      </c>
      <c r="B78" s="2" t="str">
        <f t="shared" si="2"/>
        <v>June</v>
      </c>
      <c r="C78" s="1" t="s">
        <v>27</v>
      </c>
      <c r="D78" s="1" t="s">
        <v>28</v>
      </c>
      <c r="E78" s="1" t="s">
        <v>9</v>
      </c>
      <c r="F78" s="1" t="s">
        <v>38</v>
      </c>
      <c r="G78" s="1" t="s">
        <v>16</v>
      </c>
      <c r="H78" s="1">
        <v>2</v>
      </c>
      <c r="I78" s="1">
        <v>11700</v>
      </c>
      <c r="J78" s="1">
        <f t="shared" si="3"/>
        <v>23400</v>
      </c>
    </row>
    <row r="79" spans="1:10" x14ac:dyDescent="0.3">
      <c r="A79" s="2">
        <v>45455</v>
      </c>
      <c r="B79" s="2" t="str">
        <f t="shared" si="2"/>
        <v>June</v>
      </c>
      <c r="C79" s="1" t="s">
        <v>32</v>
      </c>
      <c r="D79" s="1" t="s">
        <v>33</v>
      </c>
      <c r="E79" s="1" t="s">
        <v>14</v>
      </c>
      <c r="F79" s="1" t="s">
        <v>41</v>
      </c>
      <c r="G79" s="1" t="s">
        <v>21</v>
      </c>
      <c r="H79" s="1">
        <v>1</v>
      </c>
      <c r="I79" s="1">
        <v>17600</v>
      </c>
      <c r="J79" s="1">
        <f t="shared" si="3"/>
        <v>17600</v>
      </c>
    </row>
    <row r="80" spans="1:10" x14ac:dyDescent="0.3">
      <c r="A80" s="2">
        <v>45456</v>
      </c>
      <c r="B80" s="2" t="str">
        <f t="shared" si="2"/>
        <v>June</v>
      </c>
      <c r="C80" s="1" t="s">
        <v>36</v>
      </c>
      <c r="D80" s="1" t="s">
        <v>37</v>
      </c>
      <c r="E80" s="1" t="s">
        <v>19</v>
      </c>
      <c r="F80" s="1" t="s">
        <v>20</v>
      </c>
      <c r="G80" s="1" t="s">
        <v>26</v>
      </c>
      <c r="H80" s="1">
        <v>2</v>
      </c>
      <c r="I80" s="1">
        <v>8800</v>
      </c>
      <c r="J80" s="1">
        <f t="shared" si="3"/>
        <v>17600</v>
      </c>
    </row>
    <row r="81" spans="1:10" x14ac:dyDescent="0.3">
      <c r="A81" s="2">
        <v>45457</v>
      </c>
      <c r="B81" s="2" t="str">
        <f t="shared" si="2"/>
        <v>June</v>
      </c>
      <c r="C81" s="1" t="s">
        <v>39</v>
      </c>
      <c r="D81" s="1" t="s">
        <v>40</v>
      </c>
      <c r="E81" s="1" t="s">
        <v>24</v>
      </c>
      <c r="F81" s="1" t="s">
        <v>43</v>
      </c>
      <c r="G81" s="1" t="s">
        <v>31</v>
      </c>
      <c r="H81" s="1">
        <v>3</v>
      </c>
      <c r="I81" s="1">
        <v>14900</v>
      </c>
      <c r="J81" s="1">
        <f t="shared" si="3"/>
        <v>44700</v>
      </c>
    </row>
    <row r="82" spans="1:10" x14ac:dyDescent="0.3">
      <c r="A82" s="2">
        <v>45458</v>
      </c>
      <c r="B82" s="2" t="str">
        <f t="shared" si="2"/>
        <v>June</v>
      </c>
      <c r="C82" s="1" t="s">
        <v>7</v>
      </c>
      <c r="D82" s="1" t="s">
        <v>8</v>
      </c>
      <c r="E82" s="1" t="s">
        <v>29</v>
      </c>
      <c r="F82" s="1" t="s">
        <v>44</v>
      </c>
      <c r="G82" s="1" t="s">
        <v>11</v>
      </c>
      <c r="H82" s="1">
        <v>2</v>
      </c>
      <c r="I82" s="1">
        <v>32800</v>
      </c>
      <c r="J82" s="1">
        <f t="shared" si="3"/>
        <v>65600</v>
      </c>
    </row>
    <row r="83" spans="1:10" x14ac:dyDescent="0.3">
      <c r="A83" s="2">
        <v>45459</v>
      </c>
      <c r="B83" s="2" t="str">
        <f t="shared" si="2"/>
        <v>June</v>
      </c>
      <c r="C83" s="1" t="s">
        <v>12</v>
      </c>
      <c r="D83" s="1" t="s">
        <v>13</v>
      </c>
      <c r="E83" s="1" t="s">
        <v>34</v>
      </c>
      <c r="F83" s="1" t="s">
        <v>45</v>
      </c>
      <c r="G83" s="1" t="s">
        <v>16</v>
      </c>
      <c r="H83" s="1">
        <v>1</v>
      </c>
      <c r="I83" s="1">
        <v>11800</v>
      </c>
      <c r="J83" s="1">
        <f t="shared" si="3"/>
        <v>11800</v>
      </c>
    </row>
    <row r="84" spans="1:10" x14ac:dyDescent="0.3">
      <c r="A84" s="2">
        <v>45460</v>
      </c>
      <c r="B84" s="2" t="str">
        <f t="shared" si="2"/>
        <v>June</v>
      </c>
      <c r="C84" s="1" t="s">
        <v>17</v>
      </c>
      <c r="D84" s="1" t="s">
        <v>18</v>
      </c>
      <c r="E84" s="1" t="s">
        <v>9</v>
      </c>
      <c r="F84" s="1" t="s">
        <v>46</v>
      </c>
      <c r="G84" s="1" t="s">
        <v>21</v>
      </c>
      <c r="H84" s="1">
        <v>2</v>
      </c>
      <c r="I84" s="1">
        <v>18300</v>
      </c>
      <c r="J84" s="1">
        <f t="shared" si="3"/>
        <v>36600</v>
      </c>
    </row>
    <row r="85" spans="1:10" x14ac:dyDescent="0.3">
      <c r="A85" s="2">
        <v>45461</v>
      </c>
      <c r="B85" s="2" t="str">
        <f t="shared" si="2"/>
        <v>June</v>
      </c>
      <c r="C85" s="1" t="s">
        <v>22</v>
      </c>
      <c r="D85" s="1" t="s">
        <v>23</v>
      </c>
      <c r="E85" s="1" t="s">
        <v>14</v>
      </c>
      <c r="F85" s="1" t="s">
        <v>47</v>
      </c>
      <c r="G85" s="1" t="s">
        <v>26</v>
      </c>
      <c r="H85" s="1">
        <v>1</v>
      </c>
      <c r="I85" s="1">
        <v>8700</v>
      </c>
      <c r="J85" s="1">
        <f t="shared" si="3"/>
        <v>8700</v>
      </c>
    </row>
    <row r="86" spans="1:10" x14ac:dyDescent="0.3">
      <c r="A86" s="2">
        <v>45462</v>
      </c>
      <c r="B86" s="2" t="str">
        <f t="shared" si="2"/>
        <v>June</v>
      </c>
      <c r="C86" s="1" t="s">
        <v>27</v>
      </c>
      <c r="D86" s="1" t="s">
        <v>28</v>
      </c>
      <c r="E86" s="1" t="s">
        <v>19</v>
      </c>
      <c r="F86" s="1" t="s">
        <v>48</v>
      </c>
      <c r="G86" s="1" t="s">
        <v>31</v>
      </c>
      <c r="H86" s="1">
        <v>2</v>
      </c>
      <c r="I86" s="1">
        <v>15200</v>
      </c>
      <c r="J86" s="1">
        <f t="shared" si="3"/>
        <v>30400</v>
      </c>
    </row>
    <row r="87" spans="1:10" x14ac:dyDescent="0.3">
      <c r="A87" s="2">
        <v>45463</v>
      </c>
      <c r="B87" s="2" t="str">
        <f t="shared" si="2"/>
        <v>June</v>
      </c>
      <c r="C87" s="1" t="s">
        <v>32</v>
      </c>
      <c r="D87" s="1" t="s">
        <v>33</v>
      </c>
      <c r="E87" s="1" t="s">
        <v>24</v>
      </c>
      <c r="F87" s="1" t="s">
        <v>49</v>
      </c>
      <c r="G87" s="1" t="s">
        <v>11</v>
      </c>
      <c r="H87" s="1">
        <v>4</v>
      </c>
      <c r="I87" s="1">
        <v>31600</v>
      </c>
      <c r="J87" s="1">
        <f t="shared" si="3"/>
        <v>126400</v>
      </c>
    </row>
    <row r="88" spans="1:10" x14ac:dyDescent="0.3">
      <c r="A88" s="2">
        <v>45464</v>
      </c>
      <c r="B88" s="2" t="str">
        <f t="shared" si="2"/>
        <v>June</v>
      </c>
      <c r="C88" s="1" t="s">
        <v>36</v>
      </c>
      <c r="D88" s="1" t="s">
        <v>37</v>
      </c>
      <c r="E88" s="1" t="s">
        <v>29</v>
      </c>
      <c r="F88" s="1" t="s">
        <v>50</v>
      </c>
      <c r="G88" s="1" t="s">
        <v>16</v>
      </c>
      <c r="H88" s="1">
        <v>1</v>
      </c>
      <c r="I88" s="1">
        <v>11900</v>
      </c>
      <c r="J88" s="1">
        <f t="shared" si="3"/>
        <v>11900</v>
      </c>
    </row>
    <row r="89" spans="1:10" x14ac:dyDescent="0.3">
      <c r="A89" s="2">
        <v>45465</v>
      </c>
      <c r="B89" s="2" t="str">
        <f t="shared" si="2"/>
        <v>June</v>
      </c>
      <c r="C89" s="1" t="s">
        <v>39</v>
      </c>
      <c r="D89" s="1" t="s">
        <v>40</v>
      </c>
      <c r="E89" s="1" t="s">
        <v>34</v>
      </c>
      <c r="F89" s="1" t="s">
        <v>51</v>
      </c>
      <c r="G89" s="1" t="s">
        <v>21</v>
      </c>
      <c r="H89" s="1">
        <v>1</v>
      </c>
      <c r="I89" s="1">
        <v>18100</v>
      </c>
      <c r="J89" s="1">
        <f t="shared" si="3"/>
        <v>18100</v>
      </c>
    </row>
    <row r="90" spans="1:10" x14ac:dyDescent="0.3">
      <c r="A90" s="2">
        <v>45466</v>
      </c>
      <c r="B90" s="2" t="str">
        <f t="shared" si="2"/>
        <v>June</v>
      </c>
      <c r="C90" s="1" t="s">
        <v>7</v>
      </c>
      <c r="D90" s="1" t="s">
        <v>8</v>
      </c>
      <c r="E90" s="1" t="s">
        <v>9</v>
      </c>
      <c r="F90" s="1" t="s">
        <v>52</v>
      </c>
      <c r="G90" s="1" t="s">
        <v>26</v>
      </c>
      <c r="H90" s="1">
        <v>3</v>
      </c>
      <c r="I90" s="1">
        <v>8600</v>
      </c>
      <c r="J90" s="1">
        <f t="shared" si="3"/>
        <v>25800</v>
      </c>
    </row>
    <row r="91" spans="1:10" x14ac:dyDescent="0.3">
      <c r="A91" s="2">
        <v>45467</v>
      </c>
      <c r="B91" s="2" t="str">
        <f t="shared" si="2"/>
        <v>June</v>
      </c>
      <c r="C91" s="1" t="s">
        <v>12</v>
      </c>
      <c r="D91" s="1" t="s">
        <v>13</v>
      </c>
      <c r="E91" s="1" t="s">
        <v>14</v>
      </c>
      <c r="F91" s="1" t="s">
        <v>53</v>
      </c>
      <c r="G91" s="1" t="s">
        <v>31</v>
      </c>
      <c r="H91" s="1">
        <v>1</v>
      </c>
      <c r="I91" s="1">
        <v>14700</v>
      </c>
      <c r="J91" s="1">
        <f t="shared" si="3"/>
        <v>14700</v>
      </c>
    </row>
    <row r="92" spans="1:10" x14ac:dyDescent="0.3">
      <c r="A92" s="2">
        <v>45468</v>
      </c>
      <c r="B92" s="2" t="str">
        <f t="shared" si="2"/>
        <v>June</v>
      </c>
      <c r="C92" s="1" t="s">
        <v>17</v>
      </c>
      <c r="D92" s="1" t="s">
        <v>18</v>
      </c>
      <c r="E92" s="1" t="s">
        <v>19</v>
      </c>
      <c r="F92" s="1" t="s">
        <v>54</v>
      </c>
      <c r="G92" s="1" t="s">
        <v>11</v>
      </c>
      <c r="H92" s="1">
        <v>2</v>
      </c>
      <c r="I92" s="1">
        <v>33100</v>
      </c>
      <c r="J92" s="1">
        <f t="shared" si="3"/>
        <v>66200</v>
      </c>
    </row>
    <row r="93" spans="1:10" x14ac:dyDescent="0.3">
      <c r="A93" s="2">
        <v>45469</v>
      </c>
      <c r="B93" s="2" t="str">
        <f t="shared" si="2"/>
        <v>June</v>
      </c>
      <c r="C93" s="1" t="s">
        <v>22</v>
      </c>
      <c r="D93" s="1" t="s">
        <v>23</v>
      </c>
      <c r="E93" s="1" t="s">
        <v>24</v>
      </c>
      <c r="F93" s="1" t="s">
        <v>55</v>
      </c>
      <c r="G93" s="1" t="s">
        <v>16</v>
      </c>
      <c r="H93" s="1">
        <v>2</v>
      </c>
      <c r="I93" s="1">
        <v>11600</v>
      </c>
      <c r="J93" s="1">
        <f t="shared" si="3"/>
        <v>23200</v>
      </c>
    </row>
    <row r="94" spans="1:10" x14ac:dyDescent="0.3">
      <c r="A94" s="2">
        <v>45470</v>
      </c>
      <c r="B94" s="2" t="str">
        <f t="shared" si="2"/>
        <v>June</v>
      </c>
      <c r="C94" s="1" t="s">
        <v>27</v>
      </c>
      <c r="D94" s="1" t="s">
        <v>28</v>
      </c>
      <c r="E94" s="1" t="s">
        <v>29</v>
      </c>
      <c r="F94" s="1" t="s">
        <v>56</v>
      </c>
      <c r="G94" s="1" t="s">
        <v>21</v>
      </c>
      <c r="H94" s="1">
        <v>3</v>
      </c>
      <c r="I94" s="1">
        <v>17700</v>
      </c>
      <c r="J94" s="1">
        <f t="shared" si="3"/>
        <v>53100</v>
      </c>
    </row>
    <row r="95" spans="1:10" x14ac:dyDescent="0.3">
      <c r="A95" s="2">
        <v>45471</v>
      </c>
      <c r="B95" s="2" t="str">
        <f t="shared" si="2"/>
        <v>June</v>
      </c>
      <c r="C95" s="1" t="s">
        <v>32</v>
      </c>
      <c r="D95" s="1" t="s">
        <v>33</v>
      </c>
      <c r="E95" s="1" t="s">
        <v>34</v>
      </c>
      <c r="F95" s="1" t="s">
        <v>57</v>
      </c>
      <c r="G95" s="1" t="s">
        <v>26</v>
      </c>
      <c r="H95" s="1">
        <v>2</v>
      </c>
      <c r="I95" s="1">
        <v>8500</v>
      </c>
      <c r="J95" s="1">
        <f t="shared" si="3"/>
        <v>17000</v>
      </c>
    </row>
    <row r="96" spans="1:10" x14ac:dyDescent="0.3">
      <c r="A96" s="2">
        <v>45472</v>
      </c>
      <c r="B96" s="2" t="str">
        <f t="shared" si="2"/>
        <v>June</v>
      </c>
      <c r="C96" s="1" t="s">
        <v>36</v>
      </c>
      <c r="D96" s="1" t="s">
        <v>37</v>
      </c>
      <c r="E96" s="1" t="s">
        <v>9</v>
      </c>
      <c r="F96" s="1" t="s">
        <v>58</v>
      </c>
      <c r="G96" s="1" t="s">
        <v>31</v>
      </c>
      <c r="H96" s="1">
        <v>2</v>
      </c>
      <c r="I96" s="1">
        <v>15000</v>
      </c>
      <c r="J96" s="1">
        <f t="shared" si="3"/>
        <v>30000</v>
      </c>
    </row>
    <row r="97" spans="1:10" x14ac:dyDescent="0.3">
      <c r="A97" s="2">
        <v>45473</v>
      </c>
      <c r="B97" s="2" t="str">
        <f t="shared" si="2"/>
        <v>June</v>
      </c>
      <c r="C97" s="1" t="s">
        <v>39</v>
      </c>
      <c r="D97" s="1" t="s">
        <v>40</v>
      </c>
      <c r="E97" s="1" t="s">
        <v>14</v>
      </c>
      <c r="F97" s="1" t="s">
        <v>59</v>
      </c>
      <c r="G97" s="1" t="s">
        <v>11</v>
      </c>
      <c r="H97" s="1">
        <v>4</v>
      </c>
      <c r="I97" s="1">
        <v>31700</v>
      </c>
      <c r="J97" s="1">
        <f t="shared" si="3"/>
        <v>126800</v>
      </c>
    </row>
    <row r="98" spans="1:10" x14ac:dyDescent="0.3">
      <c r="A98" s="2">
        <v>45474</v>
      </c>
      <c r="B98" s="2" t="str">
        <f t="shared" si="2"/>
        <v>July</v>
      </c>
      <c r="C98" s="1" t="s">
        <v>7</v>
      </c>
      <c r="D98" s="1" t="s">
        <v>8</v>
      </c>
      <c r="E98" s="1" t="s">
        <v>19</v>
      </c>
      <c r="F98" s="1" t="s">
        <v>60</v>
      </c>
      <c r="G98" s="1" t="s">
        <v>16</v>
      </c>
      <c r="H98" s="1">
        <v>1</v>
      </c>
      <c r="I98" s="1">
        <v>11500</v>
      </c>
      <c r="J98" s="1">
        <f t="shared" si="3"/>
        <v>11500</v>
      </c>
    </row>
    <row r="99" spans="1:10" x14ac:dyDescent="0.3">
      <c r="A99" s="2">
        <v>45475</v>
      </c>
      <c r="B99" s="2" t="str">
        <f t="shared" si="2"/>
        <v>July</v>
      </c>
      <c r="C99" s="1" t="s">
        <v>12</v>
      </c>
      <c r="D99" s="1" t="s">
        <v>13</v>
      </c>
      <c r="E99" s="1" t="s">
        <v>24</v>
      </c>
      <c r="F99" s="1" t="s">
        <v>61</v>
      </c>
      <c r="G99" s="1" t="s">
        <v>21</v>
      </c>
      <c r="H99" s="1">
        <v>2</v>
      </c>
      <c r="I99" s="1">
        <v>17900</v>
      </c>
      <c r="J99" s="1">
        <f t="shared" si="3"/>
        <v>35800</v>
      </c>
    </row>
    <row r="100" spans="1:10" x14ac:dyDescent="0.3">
      <c r="A100" s="2">
        <v>45476</v>
      </c>
      <c r="B100" s="2" t="str">
        <f t="shared" si="2"/>
        <v>July</v>
      </c>
      <c r="C100" s="1" t="s">
        <v>17</v>
      </c>
      <c r="D100" s="1" t="s">
        <v>18</v>
      </c>
      <c r="E100" s="1" t="s">
        <v>29</v>
      </c>
      <c r="F100" s="1" t="s">
        <v>62</v>
      </c>
      <c r="G100" s="1" t="s">
        <v>26</v>
      </c>
      <c r="H100" s="1">
        <v>3</v>
      </c>
      <c r="I100" s="1">
        <v>8900</v>
      </c>
      <c r="J100" s="1">
        <f t="shared" si="3"/>
        <v>26700</v>
      </c>
    </row>
    <row r="101" spans="1:10" x14ac:dyDescent="0.3">
      <c r="A101" s="2">
        <v>45477</v>
      </c>
      <c r="B101" s="2" t="str">
        <f t="shared" si="2"/>
        <v>July</v>
      </c>
      <c r="C101" s="1" t="s">
        <v>22</v>
      </c>
      <c r="D101" s="1" t="s">
        <v>23</v>
      </c>
      <c r="E101" s="1" t="s">
        <v>34</v>
      </c>
      <c r="F101" s="1" t="s">
        <v>63</v>
      </c>
      <c r="G101" s="1" t="s">
        <v>31</v>
      </c>
      <c r="H101" s="1">
        <v>1</v>
      </c>
      <c r="I101" s="1">
        <v>14900</v>
      </c>
      <c r="J101" s="1">
        <f t="shared" si="3"/>
        <v>14900</v>
      </c>
    </row>
    <row r="102" spans="1:10" x14ac:dyDescent="0.3">
      <c r="A102" s="2">
        <v>45478</v>
      </c>
      <c r="B102" s="2" t="str">
        <f t="shared" si="2"/>
        <v>July</v>
      </c>
      <c r="C102" s="1" t="s">
        <v>27</v>
      </c>
      <c r="D102" s="1" t="s">
        <v>28</v>
      </c>
      <c r="E102" s="1" t="s">
        <v>9</v>
      </c>
      <c r="F102" s="1" t="s">
        <v>64</v>
      </c>
      <c r="G102" s="1" t="s">
        <v>11</v>
      </c>
      <c r="H102" s="1">
        <v>6</v>
      </c>
      <c r="I102" s="1">
        <v>32200</v>
      </c>
      <c r="J102" s="1">
        <f t="shared" si="3"/>
        <v>193200</v>
      </c>
    </row>
    <row r="103" spans="1:10" x14ac:dyDescent="0.3">
      <c r="A103" s="2">
        <v>45479</v>
      </c>
      <c r="B103" s="2" t="str">
        <f t="shared" si="2"/>
        <v>July</v>
      </c>
      <c r="C103" s="1" t="s">
        <v>32</v>
      </c>
      <c r="D103" s="1" t="s">
        <v>33</v>
      </c>
      <c r="E103" s="1" t="s">
        <v>14</v>
      </c>
      <c r="F103" s="1" t="s">
        <v>65</v>
      </c>
      <c r="G103" s="1" t="s">
        <v>16</v>
      </c>
      <c r="H103" s="1">
        <v>1</v>
      </c>
      <c r="I103" s="1">
        <v>12000</v>
      </c>
      <c r="J103" s="1">
        <f t="shared" si="3"/>
        <v>12000</v>
      </c>
    </row>
    <row r="104" spans="1:10" x14ac:dyDescent="0.3">
      <c r="A104" s="2">
        <v>45480</v>
      </c>
      <c r="B104" s="2" t="str">
        <f t="shared" si="2"/>
        <v>July</v>
      </c>
      <c r="C104" s="1" t="s">
        <v>36</v>
      </c>
      <c r="D104" s="1" t="s">
        <v>37</v>
      </c>
      <c r="E104" s="1" t="s">
        <v>19</v>
      </c>
      <c r="F104" s="1" t="s">
        <v>42</v>
      </c>
      <c r="G104" s="1" t="s">
        <v>21</v>
      </c>
      <c r="H104" s="1">
        <v>2</v>
      </c>
      <c r="I104" s="1">
        <v>17900</v>
      </c>
      <c r="J104" s="1">
        <f t="shared" si="3"/>
        <v>35800</v>
      </c>
    </row>
    <row r="105" spans="1:10" x14ac:dyDescent="0.3">
      <c r="A105" s="2">
        <v>45481</v>
      </c>
      <c r="B105" s="2" t="str">
        <f t="shared" si="2"/>
        <v>July</v>
      </c>
      <c r="C105" s="1" t="s">
        <v>39</v>
      </c>
      <c r="D105" s="1" t="s">
        <v>40</v>
      </c>
      <c r="E105" s="1" t="s">
        <v>24</v>
      </c>
      <c r="F105" s="1" t="s">
        <v>25</v>
      </c>
      <c r="G105" s="1" t="s">
        <v>26</v>
      </c>
      <c r="H105" s="1">
        <v>3</v>
      </c>
      <c r="I105" s="1">
        <v>9100</v>
      </c>
      <c r="J105" s="1">
        <f t="shared" si="3"/>
        <v>27300</v>
      </c>
    </row>
    <row r="106" spans="1:10" x14ac:dyDescent="0.3">
      <c r="A106" s="2">
        <v>45482</v>
      </c>
      <c r="B106" s="2" t="str">
        <f t="shared" si="2"/>
        <v>July</v>
      </c>
      <c r="C106" s="1" t="s">
        <v>7</v>
      </c>
      <c r="D106" s="1" t="s">
        <v>8</v>
      </c>
      <c r="E106" s="1" t="s">
        <v>29</v>
      </c>
      <c r="F106" s="1" t="s">
        <v>30</v>
      </c>
      <c r="G106" s="1" t="s">
        <v>31</v>
      </c>
      <c r="H106" s="1">
        <v>1</v>
      </c>
      <c r="I106" s="1">
        <v>15100</v>
      </c>
      <c r="J106" s="1">
        <f t="shared" si="3"/>
        <v>15100</v>
      </c>
    </row>
    <row r="107" spans="1:10" x14ac:dyDescent="0.3">
      <c r="A107" s="2">
        <v>45483</v>
      </c>
      <c r="B107" s="2" t="str">
        <f t="shared" si="2"/>
        <v>July</v>
      </c>
      <c r="C107" s="1" t="s">
        <v>12</v>
      </c>
      <c r="D107" s="1" t="s">
        <v>13</v>
      </c>
      <c r="E107" s="1" t="s">
        <v>34</v>
      </c>
      <c r="F107" s="1" t="s">
        <v>35</v>
      </c>
      <c r="G107" s="1" t="s">
        <v>11</v>
      </c>
      <c r="H107" s="1">
        <v>2</v>
      </c>
      <c r="I107" s="1">
        <v>31900</v>
      </c>
      <c r="J107" s="1">
        <f t="shared" si="3"/>
        <v>63800</v>
      </c>
    </row>
    <row r="108" spans="1:10" x14ac:dyDescent="0.3">
      <c r="A108" s="2">
        <v>45484</v>
      </c>
      <c r="B108" s="2" t="str">
        <f t="shared" si="2"/>
        <v>July</v>
      </c>
      <c r="C108" s="1" t="s">
        <v>17</v>
      </c>
      <c r="D108" s="1" t="s">
        <v>18</v>
      </c>
      <c r="E108" s="1" t="s">
        <v>9</v>
      </c>
      <c r="F108" s="1" t="s">
        <v>38</v>
      </c>
      <c r="G108" s="1" t="s">
        <v>16</v>
      </c>
      <c r="H108" s="1">
        <v>2</v>
      </c>
      <c r="I108" s="1">
        <v>11700</v>
      </c>
      <c r="J108" s="1">
        <f t="shared" si="3"/>
        <v>23400</v>
      </c>
    </row>
    <row r="109" spans="1:10" x14ac:dyDescent="0.3">
      <c r="A109" s="2">
        <v>45485</v>
      </c>
      <c r="B109" s="2" t="str">
        <f t="shared" si="2"/>
        <v>July</v>
      </c>
      <c r="C109" s="1" t="s">
        <v>22</v>
      </c>
      <c r="D109" s="1" t="s">
        <v>23</v>
      </c>
      <c r="E109" s="1" t="s">
        <v>14</v>
      </c>
      <c r="F109" s="1" t="s">
        <v>41</v>
      </c>
      <c r="G109" s="1" t="s">
        <v>21</v>
      </c>
      <c r="H109" s="1">
        <v>1</v>
      </c>
      <c r="I109" s="1">
        <v>17600</v>
      </c>
      <c r="J109" s="1">
        <f t="shared" si="3"/>
        <v>17600</v>
      </c>
    </row>
    <row r="110" spans="1:10" x14ac:dyDescent="0.3">
      <c r="A110" s="2">
        <v>45486</v>
      </c>
      <c r="B110" s="2" t="str">
        <f t="shared" si="2"/>
        <v>July</v>
      </c>
      <c r="C110" s="1" t="s">
        <v>27</v>
      </c>
      <c r="D110" s="1" t="s">
        <v>28</v>
      </c>
      <c r="E110" s="1" t="s">
        <v>19</v>
      </c>
      <c r="F110" s="1" t="s">
        <v>20</v>
      </c>
      <c r="G110" s="1" t="s">
        <v>26</v>
      </c>
      <c r="H110" s="1">
        <v>2</v>
      </c>
      <c r="I110" s="1">
        <v>8800</v>
      </c>
      <c r="J110" s="1">
        <f t="shared" si="3"/>
        <v>17600</v>
      </c>
    </row>
    <row r="111" spans="1:10" x14ac:dyDescent="0.3">
      <c r="A111" s="2">
        <v>45487</v>
      </c>
      <c r="B111" s="2" t="str">
        <f t="shared" si="2"/>
        <v>July</v>
      </c>
      <c r="C111" s="1" t="s">
        <v>32</v>
      </c>
      <c r="D111" s="1" t="s">
        <v>33</v>
      </c>
      <c r="E111" s="1" t="s">
        <v>24</v>
      </c>
      <c r="F111" s="1" t="s">
        <v>43</v>
      </c>
      <c r="G111" s="1" t="s">
        <v>31</v>
      </c>
      <c r="H111" s="1">
        <v>3</v>
      </c>
      <c r="I111" s="1">
        <v>14900</v>
      </c>
      <c r="J111" s="1">
        <f t="shared" si="3"/>
        <v>44700</v>
      </c>
    </row>
    <row r="112" spans="1:10" x14ac:dyDescent="0.3">
      <c r="A112" s="2">
        <v>45488</v>
      </c>
      <c r="B112" s="2" t="str">
        <f t="shared" si="2"/>
        <v>July</v>
      </c>
      <c r="C112" s="1" t="s">
        <v>36</v>
      </c>
      <c r="D112" s="1" t="s">
        <v>37</v>
      </c>
      <c r="E112" s="1" t="s">
        <v>29</v>
      </c>
      <c r="F112" s="1" t="s">
        <v>44</v>
      </c>
      <c r="G112" s="1" t="s">
        <v>11</v>
      </c>
      <c r="H112" s="1">
        <v>1</v>
      </c>
      <c r="I112" s="1">
        <v>32800</v>
      </c>
      <c r="J112" s="1">
        <f t="shared" si="3"/>
        <v>32800</v>
      </c>
    </row>
    <row r="113" spans="1:10" x14ac:dyDescent="0.3">
      <c r="A113" s="2">
        <v>45489</v>
      </c>
      <c r="B113" s="2" t="str">
        <f t="shared" si="2"/>
        <v>July</v>
      </c>
      <c r="C113" s="1" t="s">
        <v>39</v>
      </c>
      <c r="D113" s="1" t="s">
        <v>40</v>
      </c>
      <c r="E113" s="1" t="s">
        <v>34</v>
      </c>
      <c r="F113" s="1" t="s">
        <v>45</v>
      </c>
      <c r="G113" s="1" t="s">
        <v>16</v>
      </c>
      <c r="H113" s="1">
        <v>1</v>
      </c>
      <c r="I113" s="1">
        <v>11800</v>
      </c>
      <c r="J113" s="1">
        <f t="shared" si="3"/>
        <v>11800</v>
      </c>
    </row>
    <row r="114" spans="1:10" x14ac:dyDescent="0.3">
      <c r="A114" s="2">
        <v>45490</v>
      </c>
      <c r="B114" s="2" t="str">
        <f t="shared" si="2"/>
        <v>July</v>
      </c>
      <c r="C114" s="1" t="s">
        <v>7</v>
      </c>
      <c r="D114" s="1" t="s">
        <v>8</v>
      </c>
      <c r="E114" s="1" t="s">
        <v>9</v>
      </c>
      <c r="F114" s="1" t="s">
        <v>46</v>
      </c>
      <c r="G114" s="1" t="s">
        <v>21</v>
      </c>
      <c r="H114" s="1">
        <v>2</v>
      </c>
      <c r="I114" s="1">
        <v>18300</v>
      </c>
      <c r="J114" s="1">
        <f t="shared" si="3"/>
        <v>36600</v>
      </c>
    </row>
    <row r="115" spans="1:10" x14ac:dyDescent="0.3">
      <c r="A115" s="2">
        <v>45491</v>
      </c>
      <c r="B115" s="2" t="str">
        <f t="shared" si="2"/>
        <v>July</v>
      </c>
      <c r="C115" s="1" t="s">
        <v>12</v>
      </c>
      <c r="D115" s="1" t="s">
        <v>13</v>
      </c>
      <c r="E115" s="1" t="s">
        <v>14</v>
      </c>
      <c r="F115" s="1" t="s">
        <v>47</v>
      </c>
      <c r="G115" s="1" t="s">
        <v>26</v>
      </c>
      <c r="H115" s="1">
        <v>1</v>
      </c>
      <c r="I115" s="1">
        <v>8700</v>
      </c>
      <c r="J115" s="1">
        <f t="shared" si="3"/>
        <v>8700</v>
      </c>
    </row>
    <row r="116" spans="1:10" x14ac:dyDescent="0.3">
      <c r="A116" s="2">
        <v>45492</v>
      </c>
      <c r="B116" s="2" t="str">
        <f t="shared" si="2"/>
        <v>July</v>
      </c>
      <c r="C116" s="1" t="s">
        <v>17</v>
      </c>
      <c r="D116" s="1" t="s">
        <v>18</v>
      </c>
      <c r="E116" s="1" t="s">
        <v>19</v>
      </c>
      <c r="F116" s="1" t="s">
        <v>48</v>
      </c>
      <c r="G116" s="1" t="s">
        <v>31</v>
      </c>
      <c r="H116" s="1">
        <v>2</v>
      </c>
      <c r="I116" s="1">
        <v>15200</v>
      </c>
      <c r="J116" s="1">
        <f t="shared" si="3"/>
        <v>30400</v>
      </c>
    </row>
    <row r="117" spans="1:10" x14ac:dyDescent="0.3">
      <c r="A117" s="2">
        <v>45493</v>
      </c>
      <c r="B117" s="2" t="str">
        <f t="shared" si="2"/>
        <v>July</v>
      </c>
      <c r="C117" s="1" t="s">
        <v>22</v>
      </c>
      <c r="D117" s="1" t="s">
        <v>23</v>
      </c>
      <c r="E117" s="1" t="s">
        <v>24</v>
      </c>
      <c r="F117" s="1" t="s">
        <v>49</v>
      </c>
      <c r="G117" s="1" t="s">
        <v>11</v>
      </c>
      <c r="H117" s="1">
        <v>2</v>
      </c>
      <c r="I117" s="1">
        <v>31600</v>
      </c>
      <c r="J117" s="1">
        <f t="shared" si="3"/>
        <v>63200</v>
      </c>
    </row>
    <row r="118" spans="1:10" x14ac:dyDescent="0.3">
      <c r="A118" s="2">
        <v>45494</v>
      </c>
      <c r="B118" s="2" t="str">
        <f t="shared" si="2"/>
        <v>July</v>
      </c>
      <c r="C118" s="1" t="s">
        <v>27</v>
      </c>
      <c r="D118" s="1" t="s">
        <v>28</v>
      </c>
      <c r="E118" s="1" t="s">
        <v>29</v>
      </c>
      <c r="F118" s="1" t="s">
        <v>50</v>
      </c>
      <c r="G118" s="1" t="s">
        <v>16</v>
      </c>
      <c r="H118" s="1">
        <v>1</v>
      </c>
      <c r="I118" s="1">
        <v>11900</v>
      </c>
      <c r="J118" s="1">
        <f t="shared" si="3"/>
        <v>11900</v>
      </c>
    </row>
    <row r="119" spans="1:10" x14ac:dyDescent="0.3">
      <c r="A119" s="2">
        <v>45495</v>
      </c>
      <c r="B119" s="2" t="str">
        <f t="shared" si="2"/>
        <v>July</v>
      </c>
      <c r="C119" s="1" t="s">
        <v>32</v>
      </c>
      <c r="D119" s="1" t="s">
        <v>33</v>
      </c>
      <c r="E119" s="1" t="s">
        <v>34</v>
      </c>
      <c r="F119" s="1" t="s">
        <v>51</v>
      </c>
      <c r="G119" s="1" t="s">
        <v>21</v>
      </c>
      <c r="H119" s="1">
        <v>1</v>
      </c>
      <c r="I119" s="1">
        <v>18100</v>
      </c>
      <c r="J119" s="1">
        <f t="shared" si="3"/>
        <v>18100</v>
      </c>
    </row>
    <row r="120" spans="1:10" x14ac:dyDescent="0.3">
      <c r="A120" s="2">
        <v>45496</v>
      </c>
      <c r="B120" s="2" t="str">
        <f t="shared" si="2"/>
        <v>July</v>
      </c>
      <c r="C120" s="1" t="s">
        <v>36</v>
      </c>
      <c r="D120" s="1" t="s">
        <v>37</v>
      </c>
      <c r="E120" s="1" t="s">
        <v>9</v>
      </c>
      <c r="F120" s="1" t="s">
        <v>52</v>
      </c>
      <c r="G120" s="1" t="s">
        <v>26</v>
      </c>
      <c r="H120" s="1">
        <v>3</v>
      </c>
      <c r="I120" s="1">
        <v>8600</v>
      </c>
      <c r="J120" s="1">
        <f t="shared" si="3"/>
        <v>25800</v>
      </c>
    </row>
    <row r="121" spans="1:10" x14ac:dyDescent="0.3">
      <c r="A121" s="2">
        <v>45497</v>
      </c>
      <c r="B121" s="2" t="str">
        <f t="shared" si="2"/>
        <v>July</v>
      </c>
      <c r="C121" s="1" t="s">
        <v>39</v>
      </c>
      <c r="D121" s="1" t="s">
        <v>40</v>
      </c>
      <c r="E121" s="1" t="s">
        <v>14</v>
      </c>
      <c r="F121" s="1" t="s">
        <v>53</v>
      </c>
      <c r="G121" s="1" t="s">
        <v>31</v>
      </c>
      <c r="H121" s="1">
        <v>1</v>
      </c>
      <c r="I121" s="1">
        <v>14700</v>
      </c>
      <c r="J121" s="1">
        <f t="shared" si="3"/>
        <v>14700</v>
      </c>
    </row>
    <row r="122" spans="1:10" x14ac:dyDescent="0.3">
      <c r="A122" s="2">
        <v>45498</v>
      </c>
      <c r="B122" s="2" t="str">
        <f t="shared" si="2"/>
        <v>July</v>
      </c>
      <c r="C122" s="1" t="s">
        <v>7</v>
      </c>
      <c r="D122" s="1" t="s">
        <v>8</v>
      </c>
      <c r="E122" s="1" t="s">
        <v>19</v>
      </c>
      <c r="F122" s="1" t="s">
        <v>54</v>
      </c>
      <c r="G122" s="1" t="s">
        <v>11</v>
      </c>
      <c r="H122" s="1">
        <v>2</v>
      </c>
      <c r="I122" s="1">
        <v>33100</v>
      </c>
      <c r="J122" s="1">
        <f t="shared" si="3"/>
        <v>66200</v>
      </c>
    </row>
    <row r="123" spans="1:10" x14ac:dyDescent="0.3">
      <c r="A123" s="2">
        <v>45499</v>
      </c>
      <c r="B123" s="2" t="str">
        <f t="shared" si="2"/>
        <v>July</v>
      </c>
      <c r="C123" s="1" t="s">
        <v>12</v>
      </c>
      <c r="D123" s="1" t="s">
        <v>13</v>
      </c>
      <c r="E123" s="1" t="s">
        <v>24</v>
      </c>
      <c r="F123" s="1" t="s">
        <v>55</v>
      </c>
      <c r="G123" s="1" t="s">
        <v>16</v>
      </c>
      <c r="H123" s="1">
        <v>2</v>
      </c>
      <c r="I123" s="1">
        <v>11600</v>
      </c>
      <c r="J123" s="1">
        <f t="shared" si="3"/>
        <v>23200</v>
      </c>
    </row>
    <row r="124" spans="1:10" x14ac:dyDescent="0.3">
      <c r="A124" s="2">
        <v>45500</v>
      </c>
      <c r="B124" s="2" t="str">
        <f t="shared" si="2"/>
        <v>July</v>
      </c>
      <c r="C124" s="1" t="s">
        <v>17</v>
      </c>
      <c r="D124" s="1" t="s">
        <v>18</v>
      </c>
      <c r="E124" s="1" t="s">
        <v>29</v>
      </c>
      <c r="F124" s="1" t="s">
        <v>56</v>
      </c>
      <c r="G124" s="1" t="s">
        <v>21</v>
      </c>
      <c r="H124" s="1">
        <v>3</v>
      </c>
      <c r="I124" s="1">
        <v>17700</v>
      </c>
      <c r="J124" s="1">
        <f t="shared" si="3"/>
        <v>53100</v>
      </c>
    </row>
    <row r="125" spans="1:10" x14ac:dyDescent="0.3">
      <c r="A125" s="2">
        <v>45501</v>
      </c>
      <c r="B125" s="2" t="str">
        <f t="shared" si="2"/>
        <v>July</v>
      </c>
      <c r="C125" s="1" t="s">
        <v>22</v>
      </c>
      <c r="D125" s="1" t="s">
        <v>23</v>
      </c>
      <c r="E125" s="1" t="s">
        <v>34</v>
      </c>
      <c r="F125" s="1" t="s">
        <v>57</v>
      </c>
      <c r="G125" s="1" t="s">
        <v>26</v>
      </c>
      <c r="H125" s="1">
        <v>1</v>
      </c>
      <c r="I125" s="1">
        <v>8500</v>
      </c>
      <c r="J125" s="1">
        <f t="shared" si="3"/>
        <v>8500</v>
      </c>
    </row>
    <row r="126" spans="1:10" x14ac:dyDescent="0.3">
      <c r="A126" s="2">
        <v>45502</v>
      </c>
      <c r="B126" s="2" t="str">
        <f t="shared" si="2"/>
        <v>July</v>
      </c>
      <c r="C126" s="1" t="s">
        <v>27</v>
      </c>
      <c r="D126" s="1" t="s">
        <v>28</v>
      </c>
      <c r="E126" s="1" t="s">
        <v>9</v>
      </c>
      <c r="F126" s="1" t="s">
        <v>58</v>
      </c>
      <c r="G126" s="1" t="s">
        <v>31</v>
      </c>
      <c r="H126" s="1">
        <v>2</v>
      </c>
      <c r="I126" s="1">
        <v>15000</v>
      </c>
      <c r="J126" s="1">
        <f t="shared" si="3"/>
        <v>30000</v>
      </c>
    </row>
    <row r="127" spans="1:10" x14ac:dyDescent="0.3">
      <c r="A127" s="2">
        <v>45503</v>
      </c>
      <c r="B127" s="2" t="str">
        <f t="shared" si="2"/>
        <v>July</v>
      </c>
      <c r="C127" s="1" t="s">
        <v>32</v>
      </c>
      <c r="D127" s="1" t="s">
        <v>33</v>
      </c>
      <c r="E127" s="1" t="s">
        <v>14</v>
      </c>
      <c r="F127" s="1" t="s">
        <v>59</v>
      </c>
      <c r="G127" s="1" t="s">
        <v>11</v>
      </c>
      <c r="H127" s="1">
        <v>1</v>
      </c>
      <c r="I127" s="1">
        <v>31700</v>
      </c>
      <c r="J127" s="1">
        <f t="shared" si="3"/>
        <v>31700</v>
      </c>
    </row>
    <row r="128" spans="1:10" x14ac:dyDescent="0.3">
      <c r="A128" s="2">
        <v>45504</v>
      </c>
      <c r="B128" s="2" t="str">
        <f t="shared" si="2"/>
        <v>July</v>
      </c>
      <c r="C128" s="1" t="s">
        <v>36</v>
      </c>
      <c r="D128" s="1" t="s">
        <v>37</v>
      </c>
      <c r="E128" s="1" t="s">
        <v>19</v>
      </c>
      <c r="F128" s="1" t="s">
        <v>60</v>
      </c>
      <c r="G128" s="1" t="s">
        <v>21</v>
      </c>
      <c r="H128" s="1">
        <v>1</v>
      </c>
      <c r="I128" s="1">
        <v>18100</v>
      </c>
      <c r="J128" s="1">
        <f t="shared" si="3"/>
        <v>18100</v>
      </c>
    </row>
    <row r="129" spans="1:10" x14ac:dyDescent="0.3">
      <c r="A129" s="2">
        <v>45504</v>
      </c>
      <c r="B129" s="2" t="str">
        <f t="shared" si="2"/>
        <v>July</v>
      </c>
      <c r="C129" s="1" t="s">
        <v>22</v>
      </c>
      <c r="D129" s="1" t="s">
        <v>23</v>
      </c>
      <c r="E129" s="1" t="s">
        <v>24</v>
      </c>
      <c r="F129" s="1" t="s">
        <v>49</v>
      </c>
      <c r="G129" s="1" t="s">
        <v>26</v>
      </c>
      <c r="H129" s="1">
        <v>2</v>
      </c>
      <c r="I129" s="1">
        <v>8700</v>
      </c>
      <c r="J129" s="1">
        <f t="shared" si="3"/>
        <v>17400</v>
      </c>
    </row>
    <row r="130" spans="1:10" x14ac:dyDescent="0.3">
      <c r="A130" s="2">
        <v>45505</v>
      </c>
      <c r="B130" s="2" t="str">
        <f t="shared" si="2"/>
        <v>August</v>
      </c>
      <c r="C130" s="1" t="s">
        <v>36</v>
      </c>
      <c r="D130" s="1" t="s">
        <v>37</v>
      </c>
      <c r="E130" s="1" t="s">
        <v>19</v>
      </c>
      <c r="F130" s="1" t="s">
        <v>60</v>
      </c>
      <c r="G130" s="1" t="s">
        <v>16</v>
      </c>
      <c r="H130" s="1">
        <v>1</v>
      </c>
      <c r="I130" s="1">
        <v>11500</v>
      </c>
      <c r="J130" s="1">
        <f t="shared" si="3"/>
        <v>11500</v>
      </c>
    </row>
    <row r="131" spans="1:10" x14ac:dyDescent="0.3">
      <c r="A131" s="2">
        <v>45505</v>
      </c>
      <c r="B131" s="2" t="str">
        <f t="shared" si="2"/>
        <v>August</v>
      </c>
      <c r="C131" s="1" t="s">
        <v>17</v>
      </c>
      <c r="D131" s="1" t="s">
        <v>18</v>
      </c>
      <c r="E131" s="1" t="s">
        <v>19</v>
      </c>
      <c r="F131" s="1" t="s">
        <v>48</v>
      </c>
      <c r="G131" s="1" t="s">
        <v>31</v>
      </c>
      <c r="H131" s="1">
        <v>2</v>
      </c>
      <c r="I131" s="1">
        <v>15200</v>
      </c>
      <c r="J131" s="1">
        <f t="shared" si="3"/>
        <v>30400</v>
      </c>
    </row>
    <row r="132" spans="1:10" x14ac:dyDescent="0.3">
      <c r="A132" s="2">
        <v>45505</v>
      </c>
      <c r="B132" s="2" t="str">
        <f t="shared" ref="B132:B195" si="4">TEXT(A132,"mmmm")</f>
        <v>August</v>
      </c>
      <c r="C132" s="1" t="s">
        <v>22</v>
      </c>
      <c r="D132" s="1" t="s">
        <v>23</v>
      </c>
      <c r="E132" s="1" t="s">
        <v>24</v>
      </c>
      <c r="F132" s="1" t="s">
        <v>49</v>
      </c>
      <c r="G132" s="1" t="s">
        <v>11</v>
      </c>
      <c r="H132" s="1">
        <v>1</v>
      </c>
      <c r="I132" s="1">
        <v>31500</v>
      </c>
      <c r="J132" s="1">
        <f t="shared" ref="J132:J195" si="5">I132*H132</f>
        <v>31500</v>
      </c>
    </row>
    <row r="133" spans="1:10" x14ac:dyDescent="0.3">
      <c r="A133" s="2">
        <v>45506</v>
      </c>
      <c r="B133" s="2" t="str">
        <f t="shared" si="4"/>
        <v>August</v>
      </c>
      <c r="C133" s="1" t="s">
        <v>27</v>
      </c>
      <c r="D133" s="1" t="s">
        <v>28</v>
      </c>
      <c r="E133" s="1" t="s">
        <v>29</v>
      </c>
      <c r="F133" s="1" t="s">
        <v>50</v>
      </c>
      <c r="G133" s="1" t="s">
        <v>16</v>
      </c>
      <c r="H133" s="1">
        <v>1</v>
      </c>
      <c r="I133" s="1">
        <v>11900</v>
      </c>
      <c r="J133" s="1">
        <f t="shared" si="5"/>
        <v>11900</v>
      </c>
    </row>
    <row r="134" spans="1:10" x14ac:dyDescent="0.3">
      <c r="A134" s="2">
        <v>45507</v>
      </c>
      <c r="B134" s="2" t="str">
        <f t="shared" si="4"/>
        <v>August</v>
      </c>
      <c r="C134" s="1" t="s">
        <v>32</v>
      </c>
      <c r="D134" s="1" t="s">
        <v>33</v>
      </c>
      <c r="E134" s="1" t="s">
        <v>34</v>
      </c>
      <c r="F134" s="1" t="s">
        <v>51</v>
      </c>
      <c r="G134" s="1" t="s">
        <v>21</v>
      </c>
      <c r="H134" s="1">
        <v>1</v>
      </c>
      <c r="I134" s="1">
        <v>18100</v>
      </c>
      <c r="J134" s="1">
        <f t="shared" si="5"/>
        <v>18100</v>
      </c>
    </row>
    <row r="135" spans="1:10" x14ac:dyDescent="0.3">
      <c r="A135" s="2">
        <v>45508</v>
      </c>
      <c r="B135" s="2" t="str">
        <f t="shared" si="4"/>
        <v>August</v>
      </c>
      <c r="C135" s="1" t="s">
        <v>36</v>
      </c>
      <c r="D135" s="1" t="s">
        <v>37</v>
      </c>
      <c r="E135" s="1" t="s">
        <v>9</v>
      </c>
      <c r="F135" s="1" t="s">
        <v>52</v>
      </c>
      <c r="G135" s="1" t="s">
        <v>26</v>
      </c>
      <c r="H135" s="1">
        <v>2</v>
      </c>
      <c r="I135" s="1">
        <v>8700</v>
      </c>
      <c r="J135" s="1">
        <f t="shared" si="5"/>
        <v>17400</v>
      </c>
    </row>
    <row r="136" spans="1:10" x14ac:dyDescent="0.3">
      <c r="A136" s="2">
        <v>45509</v>
      </c>
      <c r="B136" s="2" t="str">
        <f t="shared" si="4"/>
        <v>August</v>
      </c>
      <c r="C136" s="1" t="s">
        <v>39</v>
      </c>
      <c r="D136" s="1" t="s">
        <v>40</v>
      </c>
      <c r="E136" s="1" t="s">
        <v>14</v>
      </c>
      <c r="F136" s="1" t="s">
        <v>53</v>
      </c>
      <c r="G136" s="1" t="s">
        <v>31</v>
      </c>
      <c r="H136" s="1">
        <v>1</v>
      </c>
      <c r="I136" s="1">
        <v>14800</v>
      </c>
      <c r="J136" s="1">
        <f t="shared" si="5"/>
        <v>14800</v>
      </c>
    </row>
    <row r="137" spans="1:10" x14ac:dyDescent="0.3">
      <c r="A137" s="2">
        <v>45510</v>
      </c>
      <c r="B137" s="2" t="str">
        <f t="shared" si="4"/>
        <v>August</v>
      </c>
      <c r="C137" s="1" t="s">
        <v>7</v>
      </c>
      <c r="D137" s="1" t="s">
        <v>8</v>
      </c>
      <c r="E137" s="1" t="s">
        <v>19</v>
      </c>
      <c r="F137" s="1" t="s">
        <v>54</v>
      </c>
      <c r="G137" s="1" t="s">
        <v>11</v>
      </c>
      <c r="H137" s="1">
        <v>1</v>
      </c>
      <c r="I137" s="1">
        <v>33100</v>
      </c>
      <c r="J137" s="1">
        <f t="shared" si="5"/>
        <v>33100</v>
      </c>
    </row>
    <row r="138" spans="1:10" x14ac:dyDescent="0.3">
      <c r="A138" s="2">
        <v>45511</v>
      </c>
      <c r="B138" s="2" t="str">
        <f t="shared" si="4"/>
        <v>August</v>
      </c>
      <c r="C138" s="1" t="s">
        <v>12</v>
      </c>
      <c r="D138" s="1" t="s">
        <v>13</v>
      </c>
      <c r="E138" s="1" t="s">
        <v>24</v>
      </c>
      <c r="F138" s="1" t="s">
        <v>55</v>
      </c>
      <c r="G138" s="1" t="s">
        <v>16</v>
      </c>
      <c r="H138" s="1">
        <v>2</v>
      </c>
      <c r="I138" s="1">
        <v>11600</v>
      </c>
      <c r="J138" s="1">
        <f t="shared" si="5"/>
        <v>23200</v>
      </c>
    </row>
    <row r="139" spans="1:10" x14ac:dyDescent="0.3">
      <c r="A139" s="2">
        <v>45512</v>
      </c>
      <c r="B139" s="2" t="str">
        <f t="shared" si="4"/>
        <v>August</v>
      </c>
      <c r="C139" s="1" t="s">
        <v>17</v>
      </c>
      <c r="D139" s="1" t="s">
        <v>18</v>
      </c>
      <c r="E139" s="1" t="s">
        <v>29</v>
      </c>
      <c r="F139" s="1" t="s">
        <v>56</v>
      </c>
      <c r="G139" s="1" t="s">
        <v>21</v>
      </c>
      <c r="H139" s="1">
        <v>3</v>
      </c>
      <c r="I139" s="1">
        <v>17700</v>
      </c>
      <c r="J139" s="1">
        <f t="shared" si="5"/>
        <v>53100</v>
      </c>
    </row>
    <row r="140" spans="1:10" x14ac:dyDescent="0.3">
      <c r="A140" s="2">
        <v>45513</v>
      </c>
      <c r="B140" s="2" t="str">
        <f t="shared" si="4"/>
        <v>August</v>
      </c>
      <c r="C140" s="1" t="s">
        <v>22</v>
      </c>
      <c r="D140" s="1" t="s">
        <v>23</v>
      </c>
      <c r="E140" s="1" t="s">
        <v>34</v>
      </c>
      <c r="F140" s="1" t="s">
        <v>57</v>
      </c>
      <c r="G140" s="1" t="s">
        <v>26</v>
      </c>
      <c r="H140" s="1">
        <v>1</v>
      </c>
      <c r="I140" s="1">
        <v>8500</v>
      </c>
      <c r="J140" s="1">
        <f t="shared" si="5"/>
        <v>8500</v>
      </c>
    </row>
    <row r="141" spans="1:10" x14ac:dyDescent="0.3">
      <c r="A141" s="2">
        <v>45514</v>
      </c>
      <c r="B141" s="2" t="str">
        <f t="shared" si="4"/>
        <v>August</v>
      </c>
      <c r="C141" s="1" t="s">
        <v>27</v>
      </c>
      <c r="D141" s="1" t="s">
        <v>28</v>
      </c>
      <c r="E141" s="1" t="s">
        <v>9</v>
      </c>
      <c r="F141" s="1" t="s">
        <v>58</v>
      </c>
      <c r="G141" s="1" t="s">
        <v>31</v>
      </c>
      <c r="H141" s="1">
        <v>2</v>
      </c>
      <c r="I141" s="1">
        <v>15000</v>
      </c>
      <c r="J141" s="1">
        <f t="shared" si="5"/>
        <v>30000</v>
      </c>
    </row>
    <row r="142" spans="1:10" x14ac:dyDescent="0.3">
      <c r="A142" s="2">
        <v>45515</v>
      </c>
      <c r="B142" s="2" t="str">
        <f t="shared" si="4"/>
        <v>August</v>
      </c>
      <c r="C142" s="1" t="s">
        <v>32</v>
      </c>
      <c r="D142" s="1" t="s">
        <v>33</v>
      </c>
      <c r="E142" s="1" t="s">
        <v>14</v>
      </c>
      <c r="F142" s="1" t="s">
        <v>59</v>
      </c>
      <c r="G142" s="1" t="s">
        <v>11</v>
      </c>
      <c r="H142" s="1">
        <v>2</v>
      </c>
      <c r="I142" s="1">
        <v>31700</v>
      </c>
      <c r="J142" s="1">
        <f t="shared" si="5"/>
        <v>63400</v>
      </c>
    </row>
    <row r="143" spans="1:10" x14ac:dyDescent="0.3">
      <c r="A143" s="2">
        <v>45516</v>
      </c>
      <c r="B143" s="2" t="str">
        <f t="shared" si="4"/>
        <v>August</v>
      </c>
      <c r="C143" s="1" t="s">
        <v>36</v>
      </c>
      <c r="D143" s="1" t="s">
        <v>37</v>
      </c>
      <c r="E143" s="1" t="s">
        <v>19</v>
      </c>
      <c r="F143" s="1" t="s">
        <v>60</v>
      </c>
      <c r="G143" s="1" t="s">
        <v>16</v>
      </c>
      <c r="H143" s="1">
        <v>1</v>
      </c>
      <c r="I143" s="1">
        <v>11500</v>
      </c>
      <c r="J143" s="1">
        <f t="shared" si="5"/>
        <v>11500</v>
      </c>
    </row>
    <row r="144" spans="1:10" x14ac:dyDescent="0.3">
      <c r="A144" s="2">
        <v>45517</v>
      </c>
      <c r="B144" s="2" t="str">
        <f t="shared" si="4"/>
        <v>August</v>
      </c>
      <c r="C144" s="1" t="s">
        <v>39</v>
      </c>
      <c r="D144" s="1" t="s">
        <v>40</v>
      </c>
      <c r="E144" s="1" t="s">
        <v>24</v>
      </c>
      <c r="F144" s="1" t="s">
        <v>61</v>
      </c>
      <c r="G144" s="1" t="s">
        <v>21</v>
      </c>
      <c r="H144" s="1">
        <v>2</v>
      </c>
      <c r="I144" s="1">
        <v>17900</v>
      </c>
      <c r="J144" s="1">
        <f t="shared" si="5"/>
        <v>35800</v>
      </c>
    </row>
    <row r="145" spans="1:10" x14ac:dyDescent="0.3">
      <c r="A145" s="2">
        <v>45518</v>
      </c>
      <c r="B145" s="2" t="str">
        <f t="shared" si="4"/>
        <v>August</v>
      </c>
      <c r="C145" s="1" t="s">
        <v>7</v>
      </c>
      <c r="D145" s="1" t="s">
        <v>8</v>
      </c>
      <c r="E145" s="1" t="s">
        <v>29</v>
      </c>
      <c r="F145" s="1" t="s">
        <v>62</v>
      </c>
      <c r="G145" s="1" t="s">
        <v>26</v>
      </c>
      <c r="H145" s="1">
        <v>3</v>
      </c>
      <c r="I145" s="1">
        <v>8900</v>
      </c>
      <c r="J145" s="1">
        <f t="shared" si="5"/>
        <v>26700</v>
      </c>
    </row>
    <row r="146" spans="1:10" x14ac:dyDescent="0.3">
      <c r="A146" s="2">
        <v>45519</v>
      </c>
      <c r="B146" s="2" t="str">
        <f t="shared" si="4"/>
        <v>August</v>
      </c>
      <c r="C146" s="1" t="s">
        <v>12</v>
      </c>
      <c r="D146" s="1" t="s">
        <v>13</v>
      </c>
      <c r="E146" s="1" t="s">
        <v>34</v>
      </c>
      <c r="F146" s="1" t="s">
        <v>63</v>
      </c>
      <c r="G146" s="1" t="s">
        <v>31</v>
      </c>
      <c r="H146" s="1">
        <v>1</v>
      </c>
      <c r="I146" s="1">
        <v>14900</v>
      </c>
      <c r="J146" s="1">
        <f t="shared" si="5"/>
        <v>14900</v>
      </c>
    </row>
    <row r="147" spans="1:10" x14ac:dyDescent="0.3">
      <c r="A147" s="2">
        <v>45520</v>
      </c>
      <c r="B147" s="2" t="str">
        <f t="shared" si="4"/>
        <v>August</v>
      </c>
      <c r="C147" s="1" t="s">
        <v>17</v>
      </c>
      <c r="D147" s="1" t="s">
        <v>18</v>
      </c>
      <c r="E147" s="1" t="s">
        <v>9</v>
      </c>
      <c r="F147" s="1" t="s">
        <v>64</v>
      </c>
      <c r="G147" s="1" t="s">
        <v>11</v>
      </c>
      <c r="H147" s="1">
        <v>2</v>
      </c>
      <c r="I147" s="1">
        <v>32200</v>
      </c>
      <c r="J147" s="1">
        <f t="shared" si="5"/>
        <v>64400</v>
      </c>
    </row>
    <row r="148" spans="1:10" x14ac:dyDescent="0.3">
      <c r="A148" s="2">
        <v>45521</v>
      </c>
      <c r="B148" s="2" t="str">
        <f t="shared" si="4"/>
        <v>August</v>
      </c>
      <c r="C148" s="1" t="s">
        <v>22</v>
      </c>
      <c r="D148" s="1" t="s">
        <v>23</v>
      </c>
      <c r="E148" s="1" t="s">
        <v>14</v>
      </c>
      <c r="F148" s="1" t="s">
        <v>65</v>
      </c>
      <c r="G148" s="1" t="s">
        <v>16</v>
      </c>
      <c r="H148" s="1">
        <v>1</v>
      </c>
      <c r="I148" s="1">
        <v>12000</v>
      </c>
      <c r="J148" s="1">
        <f t="shared" si="5"/>
        <v>12000</v>
      </c>
    </row>
    <row r="149" spans="1:10" x14ac:dyDescent="0.3">
      <c r="A149" s="2">
        <v>45522</v>
      </c>
      <c r="B149" s="2" t="str">
        <f t="shared" si="4"/>
        <v>August</v>
      </c>
      <c r="C149" s="1" t="s">
        <v>27</v>
      </c>
      <c r="D149" s="1" t="s">
        <v>28</v>
      </c>
      <c r="E149" s="1" t="s">
        <v>19</v>
      </c>
      <c r="F149" s="1" t="s">
        <v>42</v>
      </c>
      <c r="G149" s="1" t="s">
        <v>21</v>
      </c>
      <c r="H149" s="1">
        <v>2</v>
      </c>
      <c r="I149" s="1">
        <v>17900</v>
      </c>
      <c r="J149" s="1">
        <f t="shared" si="5"/>
        <v>35800</v>
      </c>
    </row>
    <row r="150" spans="1:10" x14ac:dyDescent="0.3">
      <c r="A150" s="2">
        <v>45523</v>
      </c>
      <c r="B150" s="2" t="str">
        <f t="shared" si="4"/>
        <v>August</v>
      </c>
      <c r="C150" s="1" t="s">
        <v>32</v>
      </c>
      <c r="D150" s="1" t="s">
        <v>33</v>
      </c>
      <c r="E150" s="1" t="s">
        <v>24</v>
      </c>
      <c r="F150" s="1" t="s">
        <v>25</v>
      </c>
      <c r="G150" s="1" t="s">
        <v>26</v>
      </c>
      <c r="H150" s="1">
        <v>3</v>
      </c>
      <c r="I150" s="1">
        <v>9100</v>
      </c>
      <c r="J150" s="1">
        <f t="shared" si="5"/>
        <v>27300</v>
      </c>
    </row>
    <row r="151" spans="1:10" x14ac:dyDescent="0.3">
      <c r="A151" s="2">
        <v>45524</v>
      </c>
      <c r="B151" s="2" t="str">
        <f t="shared" si="4"/>
        <v>August</v>
      </c>
      <c r="C151" s="1" t="s">
        <v>36</v>
      </c>
      <c r="D151" s="1" t="s">
        <v>37</v>
      </c>
      <c r="E151" s="1" t="s">
        <v>29</v>
      </c>
      <c r="F151" s="1" t="s">
        <v>30</v>
      </c>
      <c r="G151" s="1" t="s">
        <v>31</v>
      </c>
      <c r="H151" s="1">
        <v>1</v>
      </c>
      <c r="I151" s="1">
        <v>15100</v>
      </c>
      <c r="J151" s="1">
        <f t="shared" si="5"/>
        <v>15100</v>
      </c>
    </row>
    <row r="152" spans="1:10" x14ac:dyDescent="0.3">
      <c r="A152" s="2">
        <v>45525</v>
      </c>
      <c r="B152" s="2" t="str">
        <f t="shared" si="4"/>
        <v>August</v>
      </c>
      <c r="C152" s="1" t="s">
        <v>39</v>
      </c>
      <c r="D152" s="1" t="s">
        <v>40</v>
      </c>
      <c r="E152" s="1" t="s">
        <v>34</v>
      </c>
      <c r="F152" s="1" t="s">
        <v>35</v>
      </c>
      <c r="G152" s="1" t="s">
        <v>11</v>
      </c>
      <c r="H152" s="1">
        <v>1</v>
      </c>
      <c r="I152" s="1">
        <v>31900</v>
      </c>
      <c r="J152" s="1">
        <f t="shared" si="5"/>
        <v>31900</v>
      </c>
    </row>
    <row r="153" spans="1:10" x14ac:dyDescent="0.3">
      <c r="A153" s="2">
        <v>45526</v>
      </c>
      <c r="B153" s="2" t="str">
        <f t="shared" si="4"/>
        <v>August</v>
      </c>
      <c r="C153" s="1" t="s">
        <v>7</v>
      </c>
      <c r="D153" s="1" t="s">
        <v>8</v>
      </c>
      <c r="E153" s="1" t="s">
        <v>9</v>
      </c>
      <c r="F153" s="1" t="s">
        <v>38</v>
      </c>
      <c r="G153" s="1" t="s">
        <v>16</v>
      </c>
      <c r="H153" s="1">
        <v>2</v>
      </c>
      <c r="I153" s="1">
        <v>11700</v>
      </c>
      <c r="J153" s="1">
        <f t="shared" si="5"/>
        <v>23400</v>
      </c>
    </row>
    <row r="154" spans="1:10" x14ac:dyDescent="0.3">
      <c r="A154" s="2">
        <v>45527</v>
      </c>
      <c r="B154" s="2" t="str">
        <f t="shared" si="4"/>
        <v>August</v>
      </c>
      <c r="C154" s="1" t="s">
        <v>12</v>
      </c>
      <c r="D154" s="1" t="s">
        <v>13</v>
      </c>
      <c r="E154" s="1" t="s">
        <v>14</v>
      </c>
      <c r="F154" s="1" t="s">
        <v>41</v>
      </c>
      <c r="G154" s="1" t="s">
        <v>21</v>
      </c>
      <c r="H154" s="1">
        <v>1</v>
      </c>
      <c r="I154" s="1">
        <v>17600</v>
      </c>
      <c r="J154" s="1">
        <f t="shared" si="5"/>
        <v>17600</v>
      </c>
    </row>
    <row r="155" spans="1:10" x14ac:dyDescent="0.3">
      <c r="A155" s="2">
        <v>45528</v>
      </c>
      <c r="B155" s="2" t="str">
        <f t="shared" si="4"/>
        <v>August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26</v>
      </c>
      <c r="H155" s="1">
        <v>4</v>
      </c>
      <c r="I155" s="1">
        <v>8800</v>
      </c>
      <c r="J155" s="1">
        <f t="shared" si="5"/>
        <v>35200</v>
      </c>
    </row>
    <row r="156" spans="1:10" x14ac:dyDescent="0.3">
      <c r="A156" s="2">
        <v>45529</v>
      </c>
      <c r="B156" s="2" t="str">
        <f t="shared" si="4"/>
        <v>August</v>
      </c>
      <c r="C156" s="1" t="s">
        <v>22</v>
      </c>
      <c r="D156" s="1" t="s">
        <v>23</v>
      </c>
      <c r="E156" s="1" t="s">
        <v>24</v>
      </c>
      <c r="F156" s="1" t="s">
        <v>43</v>
      </c>
      <c r="G156" s="1" t="s">
        <v>31</v>
      </c>
      <c r="H156" s="1">
        <v>3</v>
      </c>
      <c r="I156" s="1">
        <v>14900</v>
      </c>
      <c r="J156" s="1">
        <f t="shared" si="5"/>
        <v>44700</v>
      </c>
    </row>
    <row r="157" spans="1:10" x14ac:dyDescent="0.3">
      <c r="A157" s="2">
        <v>45530</v>
      </c>
      <c r="B157" s="2" t="str">
        <f t="shared" si="4"/>
        <v>August</v>
      </c>
      <c r="C157" s="1" t="s">
        <v>27</v>
      </c>
      <c r="D157" s="1" t="s">
        <v>28</v>
      </c>
      <c r="E157" s="1" t="s">
        <v>29</v>
      </c>
      <c r="F157" s="1" t="s">
        <v>44</v>
      </c>
      <c r="G157" s="1" t="s">
        <v>11</v>
      </c>
      <c r="H157" s="1">
        <v>1</v>
      </c>
      <c r="I157" s="1">
        <v>32800</v>
      </c>
      <c r="J157" s="1">
        <f t="shared" si="5"/>
        <v>32800</v>
      </c>
    </row>
    <row r="158" spans="1:10" x14ac:dyDescent="0.3">
      <c r="A158" s="2">
        <v>45531</v>
      </c>
      <c r="B158" s="2" t="str">
        <f t="shared" si="4"/>
        <v>August</v>
      </c>
      <c r="C158" s="1" t="s">
        <v>32</v>
      </c>
      <c r="D158" s="1" t="s">
        <v>33</v>
      </c>
      <c r="E158" s="1" t="s">
        <v>34</v>
      </c>
      <c r="F158" s="1" t="s">
        <v>45</v>
      </c>
      <c r="G158" s="1" t="s">
        <v>16</v>
      </c>
      <c r="H158" s="1">
        <v>1</v>
      </c>
      <c r="I158" s="1">
        <v>11800</v>
      </c>
      <c r="J158" s="1">
        <f t="shared" si="5"/>
        <v>11800</v>
      </c>
    </row>
    <row r="159" spans="1:10" x14ac:dyDescent="0.3">
      <c r="A159" s="2">
        <v>45532</v>
      </c>
      <c r="B159" s="2" t="str">
        <f t="shared" si="4"/>
        <v>August</v>
      </c>
      <c r="C159" s="1" t="s">
        <v>36</v>
      </c>
      <c r="D159" s="1" t="s">
        <v>37</v>
      </c>
      <c r="E159" s="1" t="s">
        <v>9</v>
      </c>
      <c r="F159" s="1" t="s">
        <v>46</v>
      </c>
      <c r="G159" s="1" t="s">
        <v>21</v>
      </c>
      <c r="H159" s="1">
        <v>2</v>
      </c>
      <c r="I159" s="1">
        <v>18300</v>
      </c>
      <c r="J159" s="1">
        <f t="shared" si="5"/>
        <v>36600</v>
      </c>
    </row>
    <row r="160" spans="1:10" x14ac:dyDescent="0.3">
      <c r="A160" s="2">
        <v>45533</v>
      </c>
      <c r="B160" s="2" t="str">
        <f t="shared" si="4"/>
        <v>August</v>
      </c>
      <c r="C160" s="1" t="s">
        <v>39</v>
      </c>
      <c r="D160" s="1" t="s">
        <v>40</v>
      </c>
      <c r="E160" s="1" t="s">
        <v>14</v>
      </c>
      <c r="F160" s="1" t="s">
        <v>47</v>
      </c>
      <c r="G160" s="1" t="s">
        <v>26</v>
      </c>
      <c r="H160" s="1">
        <v>1</v>
      </c>
      <c r="I160" s="1">
        <v>8700</v>
      </c>
      <c r="J160" s="1">
        <f t="shared" si="5"/>
        <v>8700</v>
      </c>
    </row>
    <row r="161" spans="1:10" x14ac:dyDescent="0.3">
      <c r="A161" s="2">
        <v>45534</v>
      </c>
      <c r="B161" s="2" t="str">
        <f t="shared" si="4"/>
        <v>August</v>
      </c>
      <c r="C161" s="1" t="s">
        <v>7</v>
      </c>
      <c r="D161" s="1" t="s">
        <v>8</v>
      </c>
      <c r="E161" s="1" t="s">
        <v>19</v>
      </c>
      <c r="F161" s="1" t="s">
        <v>48</v>
      </c>
      <c r="G161" s="1" t="s">
        <v>31</v>
      </c>
      <c r="H161" s="1">
        <v>2</v>
      </c>
      <c r="I161" s="1">
        <v>15200</v>
      </c>
      <c r="J161" s="1">
        <f t="shared" si="5"/>
        <v>30400</v>
      </c>
    </row>
    <row r="162" spans="1:10" x14ac:dyDescent="0.3">
      <c r="A162" s="2">
        <v>45535</v>
      </c>
      <c r="B162" s="2" t="str">
        <f t="shared" si="4"/>
        <v>August</v>
      </c>
      <c r="C162" s="1" t="s">
        <v>12</v>
      </c>
      <c r="D162" s="1" t="s">
        <v>13</v>
      </c>
      <c r="E162" s="1" t="s">
        <v>24</v>
      </c>
      <c r="F162" s="1" t="s">
        <v>49</v>
      </c>
      <c r="G162" s="1" t="s">
        <v>11</v>
      </c>
      <c r="H162" s="1">
        <v>2</v>
      </c>
      <c r="I162" s="1">
        <v>31600</v>
      </c>
      <c r="J162" s="1">
        <f t="shared" si="5"/>
        <v>63200</v>
      </c>
    </row>
    <row r="163" spans="1:10" x14ac:dyDescent="0.3">
      <c r="A163" s="2">
        <v>45536</v>
      </c>
      <c r="B163" s="2" t="str">
        <f t="shared" si="4"/>
        <v>September</v>
      </c>
      <c r="C163" s="1" t="s">
        <v>17</v>
      </c>
      <c r="D163" s="1" t="s">
        <v>18</v>
      </c>
      <c r="E163" s="1" t="s">
        <v>29</v>
      </c>
      <c r="F163" s="1" t="s">
        <v>50</v>
      </c>
      <c r="G163" s="1" t="s">
        <v>16</v>
      </c>
      <c r="H163" s="1">
        <v>1</v>
      </c>
      <c r="I163" s="1">
        <v>11900</v>
      </c>
      <c r="J163" s="1">
        <f t="shared" si="5"/>
        <v>11900</v>
      </c>
    </row>
    <row r="164" spans="1:10" x14ac:dyDescent="0.3">
      <c r="A164" s="2">
        <v>45537</v>
      </c>
      <c r="B164" s="2" t="str">
        <f t="shared" si="4"/>
        <v>September</v>
      </c>
      <c r="C164" s="1" t="s">
        <v>22</v>
      </c>
      <c r="D164" s="1" t="s">
        <v>23</v>
      </c>
      <c r="E164" s="1" t="s">
        <v>34</v>
      </c>
      <c r="F164" s="1" t="s">
        <v>51</v>
      </c>
      <c r="G164" s="1" t="s">
        <v>21</v>
      </c>
      <c r="H164" s="1">
        <v>1</v>
      </c>
      <c r="I164" s="1">
        <v>18100</v>
      </c>
      <c r="J164" s="1">
        <f t="shared" si="5"/>
        <v>18100</v>
      </c>
    </row>
    <row r="165" spans="1:10" x14ac:dyDescent="0.3">
      <c r="A165" s="2">
        <v>45538</v>
      </c>
      <c r="B165" s="2" t="str">
        <f t="shared" si="4"/>
        <v>September</v>
      </c>
      <c r="C165" s="1" t="s">
        <v>27</v>
      </c>
      <c r="D165" s="1" t="s">
        <v>28</v>
      </c>
      <c r="E165" s="1" t="s">
        <v>9</v>
      </c>
      <c r="F165" s="1" t="s">
        <v>52</v>
      </c>
      <c r="G165" s="1" t="s">
        <v>26</v>
      </c>
      <c r="H165" s="1">
        <v>3</v>
      </c>
      <c r="I165" s="1">
        <v>8600</v>
      </c>
      <c r="J165" s="1">
        <f t="shared" si="5"/>
        <v>25800</v>
      </c>
    </row>
    <row r="166" spans="1:10" x14ac:dyDescent="0.3">
      <c r="A166" s="2">
        <v>45539</v>
      </c>
      <c r="B166" s="2" t="str">
        <f t="shared" si="4"/>
        <v>September</v>
      </c>
      <c r="C166" s="1" t="s">
        <v>32</v>
      </c>
      <c r="D166" s="1" t="s">
        <v>33</v>
      </c>
      <c r="E166" s="1" t="s">
        <v>14</v>
      </c>
      <c r="F166" s="1" t="s">
        <v>53</v>
      </c>
      <c r="G166" s="1" t="s">
        <v>31</v>
      </c>
      <c r="H166" s="1">
        <v>1</v>
      </c>
      <c r="I166" s="1">
        <v>14700</v>
      </c>
      <c r="J166" s="1">
        <f t="shared" si="5"/>
        <v>14700</v>
      </c>
    </row>
    <row r="167" spans="1:10" x14ac:dyDescent="0.3">
      <c r="A167" s="2">
        <v>45540</v>
      </c>
      <c r="B167" s="2" t="str">
        <f t="shared" si="4"/>
        <v>September</v>
      </c>
      <c r="C167" s="1" t="s">
        <v>36</v>
      </c>
      <c r="D167" s="1" t="s">
        <v>37</v>
      </c>
      <c r="E167" s="1" t="s">
        <v>19</v>
      </c>
      <c r="F167" s="1" t="s">
        <v>54</v>
      </c>
      <c r="G167" s="1" t="s">
        <v>11</v>
      </c>
      <c r="H167" s="1">
        <v>1</v>
      </c>
      <c r="I167" s="1">
        <v>33100</v>
      </c>
      <c r="J167" s="1">
        <f t="shared" si="5"/>
        <v>33100</v>
      </c>
    </row>
    <row r="168" spans="1:10" x14ac:dyDescent="0.3">
      <c r="A168" s="2">
        <v>45541</v>
      </c>
      <c r="B168" s="2" t="str">
        <f t="shared" si="4"/>
        <v>September</v>
      </c>
      <c r="C168" s="1" t="s">
        <v>39</v>
      </c>
      <c r="D168" s="1" t="s">
        <v>40</v>
      </c>
      <c r="E168" s="1" t="s">
        <v>24</v>
      </c>
      <c r="F168" s="1" t="s">
        <v>55</v>
      </c>
      <c r="G168" s="1" t="s">
        <v>16</v>
      </c>
      <c r="H168" s="1">
        <v>2</v>
      </c>
      <c r="I168" s="1">
        <v>11600</v>
      </c>
      <c r="J168" s="1">
        <f t="shared" si="5"/>
        <v>23200</v>
      </c>
    </row>
    <row r="169" spans="1:10" x14ac:dyDescent="0.3">
      <c r="A169" s="2">
        <v>45542</v>
      </c>
      <c r="B169" s="2" t="str">
        <f t="shared" si="4"/>
        <v>September</v>
      </c>
      <c r="C169" s="1" t="s">
        <v>7</v>
      </c>
      <c r="D169" s="1" t="s">
        <v>8</v>
      </c>
      <c r="E169" s="1" t="s">
        <v>29</v>
      </c>
      <c r="F169" s="1" t="s">
        <v>56</v>
      </c>
      <c r="G169" s="1" t="s">
        <v>21</v>
      </c>
      <c r="H169" s="1">
        <v>3</v>
      </c>
      <c r="I169" s="1">
        <v>17700</v>
      </c>
      <c r="J169" s="1">
        <f t="shared" si="5"/>
        <v>53100</v>
      </c>
    </row>
    <row r="170" spans="1:10" x14ac:dyDescent="0.3">
      <c r="A170" s="2">
        <v>45543</v>
      </c>
      <c r="B170" s="2" t="str">
        <f t="shared" si="4"/>
        <v>September</v>
      </c>
      <c r="C170" s="1" t="s">
        <v>12</v>
      </c>
      <c r="D170" s="1" t="s">
        <v>13</v>
      </c>
      <c r="E170" s="1" t="s">
        <v>34</v>
      </c>
      <c r="F170" s="1" t="s">
        <v>57</v>
      </c>
      <c r="G170" s="1" t="s">
        <v>26</v>
      </c>
      <c r="H170" s="1">
        <v>1</v>
      </c>
      <c r="I170" s="1">
        <v>8500</v>
      </c>
      <c r="J170" s="1">
        <f t="shared" si="5"/>
        <v>8500</v>
      </c>
    </row>
    <row r="171" spans="1:10" x14ac:dyDescent="0.3">
      <c r="A171" s="2">
        <v>45544</v>
      </c>
      <c r="B171" s="2" t="str">
        <f t="shared" si="4"/>
        <v>September</v>
      </c>
      <c r="C171" s="1" t="s">
        <v>17</v>
      </c>
      <c r="D171" s="1" t="s">
        <v>18</v>
      </c>
      <c r="E171" s="1" t="s">
        <v>9</v>
      </c>
      <c r="F171" s="1" t="s">
        <v>58</v>
      </c>
      <c r="G171" s="1" t="s">
        <v>31</v>
      </c>
      <c r="H171" s="1">
        <v>2</v>
      </c>
      <c r="I171" s="1">
        <v>15000</v>
      </c>
      <c r="J171" s="1">
        <f t="shared" si="5"/>
        <v>30000</v>
      </c>
    </row>
    <row r="172" spans="1:10" x14ac:dyDescent="0.3">
      <c r="A172" s="2">
        <v>45545</v>
      </c>
      <c r="B172" s="2" t="str">
        <f t="shared" si="4"/>
        <v>September</v>
      </c>
      <c r="C172" s="1" t="s">
        <v>22</v>
      </c>
      <c r="D172" s="1" t="s">
        <v>23</v>
      </c>
      <c r="E172" s="1" t="s">
        <v>14</v>
      </c>
      <c r="F172" s="1" t="s">
        <v>59</v>
      </c>
      <c r="G172" s="1" t="s">
        <v>11</v>
      </c>
      <c r="H172" s="1">
        <v>1</v>
      </c>
      <c r="I172" s="1">
        <v>31700</v>
      </c>
      <c r="J172" s="1">
        <f t="shared" si="5"/>
        <v>31700</v>
      </c>
    </row>
    <row r="173" spans="1:10" x14ac:dyDescent="0.3">
      <c r="A173" s="2">
        <v>45546</v>
      </c>
      <c r="B173" s="2" t="str">
        <f t="shared" si="4"/>
        <v>September</v>
      </c>
      <c r="C173" s="1" t="s">
        <v>27</v>
      </c>
      <c r="D173" s="1" t="s">
        <v>28</v>
      </c>
      <c r="E173" s="1" t="s">
        <v>19</v>
      </c>
      <c r="F173" s="1" t="s">
        <v>60</v>
      </c>
      <c r="G173" s="1" t="s">
        <v>16</v>
      </c>
      <c r="H173" s="1">
        <v>1</v>
      </c>
      <c r="I173" s="1">
        <v>11500</v>
      </c>
      <c r="J173" s="1">
        <f t="shared" si="5"/>
        <v>11500</v>
      </c>
    </row>
    <row r="174" spans="1:10" x14ac:dyDescent="0.3">
      <c r="A174" s="2">
        <v>45547</v>
      </c>
      <c r="B174" s="2" t="str">
        <f t="shared" si="4"/>
        <v>September</v>
      </c>
      <c r="C174" s="1" t="s">
        <v>32</v>
      </c>
      <c r="D174" s="1" t="s">
        <v>33</v>
      </c>
      <c r="E174" s="1" t="s">
        <v>24</v>
      </c>
      <c r="F174" s="1" t="s">
        <v>61</v>
      </c>
      <c r="G174" s="1" t="s">
        <v>21</v>
      </c>
      <c r="H174" s="1">
        <v>2</v>
      </c>
      <c r="I174" s="1">
        <v>17900</v>
      </c>
      <c r="J174" s="1">
        <f t="shared" si="5"/>
        <v>35800</v>
      </c>
    </row>
    <row r="175" spans="1:10" x14ac:dyDescent="0.3">
      <c r="A175" s="2">
        <v>45548</v>
      </c>
      <c r="B175" s="2" t="str">
        <f t="shared" si="4"/>
        <v>September</v>
      </c>
      <c r="C175" s="1" t="s">
        <v>36</v>
      </c>
      <c r="D175" s="1" t="s">
        <v>37</v>
      </c>
      <c r="E175" s="1" t="s">
        <v>29</v>
      </c>
      <c r="F175" s="1" t="s">
        <v>62</v>
      </c>
      <c r="G175" s="1" t="s">
        <v>26</v>
      </c>
      <c r="H175" s="1">
        <v>3</v>
      </c>
      <c r="I175" s="1">
        <v>8900</v>
      </c>
      <c r="J175" s="1">
        <f t="shared" si="5"/>
        <v>26700</v>
      </c>
    </row>
    <row r="176" spans="1:10" x14ac:dyDescent="0.3">
      <c r="A176" s="2">
        <v>45549</v>
      </c>
      <c r="B176" s="2" t="str">
        <f t="shared" si="4"/>
        <v>September</v>
      </c>
      <c r="C176" s="1" t="s">
        <v>39</v>
      </c>
      <c r="D176" s="1" t="s">
        <v>40</v>
      </c>
      <c r="E176" s="1" t="s">
        <v>34</v>
      </c>
      <c r="F176" s="1" t="s">
        <v>63</v>
      </c>
      <c r="G176" s="1" t="s">
        <v>31</v>
      </c>
      <c r="H176" s="1">
        <v>1</v>
      </c>
      <c r="I176" s="1">
        <v>14900</v>
      </c>
      <c r="J176" s="1">
        <f t="shared" si="5"/>
        <v>14900</v>
      </c>
    </row>
    <row r="177" spans="1:10" x14ac:dyDescent="0.3">
      <c r="A177" s="2">
        <v>45550</v>
      </c>
      <c r="B177" s="2" t="str">
        <f t="shared" si="4"/>
        <v>September</v>
      </c>
      <c r="C177" s="1" t="s">
        <v>7</v>
      </c>
      <c r="D177" s="1" t="s">
        <v>8</v>
      </c>
      <c r="E177" s="1" t="s">
        <v>9</v>
      </c>
      <c r="F177" s="1" t="s">
        <v>64</v>
      </c>
      <c r="G177" s="1" t="s">
        <v>11</v>
      </c>
      <c r="H177" s="1">
        <v>2</v>
      </c>
      <c r="I177" s="1">
        <v>32200</v>
      </c>
      <c r="J177" s="1">
        <f t="shared" si="5"/>
        <v>64400</v>
      </c>
    </row>
    <row r="178" spans="1:10" x14ac:dyDescent="0.3">
      <c r="A178" s="2">
        <v>45551</v>
      </c>
      <c r="B178" s="2" t="str">
        <f t="shared" si="4"/>
        <v>September</v>
      </c>
      <c r="C178" s="1" t="s">
        <v>12</v>
      </c>
      <c r="D178" s="1" t="s">
        <v>13</v>
      </c>
      <c r="E178" s="1" t="s">
        <v>14</v>
      </c>
      <c r="F178" s="1" t="s">
        <v>65</v>
      </c>
      <c r="G178" s="1" t="s">
        <v>16</v>
      </c>
      <c r="H178" s="1">
        <v>1</v>
      </c>
      <c r="I178" s="1">
        <v>12000</v>
      </c>
      <c r="J178" s="1">
        <f t="shared" si="5"/>
        <v>12000</v>
      </c>
    </row>
    <row r="179" spans="1:10" x14ac:dyDescent="0.3">
      <c r="A179" s="2">
        <v>45552</v>
      </c>
      <c r="B179" s="2" t="str">
        <f t="shared" si="4"/>
        <v>September</v>
      </c>
      <c r="C179" s="1" t="s">
        <v>17</v>
      </c>
      <c r="D179" s="1" t="s">
        <v>18</v>
      </c>
      <c r="E179" s="1" t="s">
        <v>19</v>
      </c>
      <c r="F179" s="1" t="s">
        <v>42</v>
      </c>
      <c r="G179" s="1" t="s">
        <v>21</v>
      </c>
      <c r="H179" s="1">
        <v>2</v>
      </c>
      <c r="I179" s="1">
        <v>17900</v>
      </c>
      <c r="J179" s="1">
        <f t="shared" si="5"/>
        <v>35800</v>
      </c>
    </row>
    <row r="180" spans="1:10" x14ac:dyDescent="0.3">
      <c r="A180" s="2">
        <v>45553</v>
      </c>
      <c r="B180" s="2" t="str">
        <f t="shared" si="4"/>
        <v>September</v>
      </c>
      <c r="C180" s="1" t="s">
        <v>22</v>
      </c>
      <c r="D180" s="1" t="s">
        <v>23</v>
      </c>
      <c r="E180" s="1" t="s">
        <v>24</v>
      </c>
      <c r="F180" s="1" t="s">
        <v>25</v>
      </c>
      <c r="G180" s="1" t="s">
        <v>26</v>
      </c>
      <c r="H180" s="1">
        <v>3</v>
      </c>
      <c r="I180" s="1">
        <v>9100</v>
      </c>
      <c r="J180" s="1">
        <f t="shared" si="5"/>
        <v>27300</v>
      </c>
    </row>
    <row r="181" spans="1:10" x14ac:dyDescent="0.3">
      <c r="A181" s="2">
        <v>45554</v>
      </c>
      <c r="B181" s="2" t="str">
        <f t="shared" si="4"/>
        <v>September</v>
      </c>
      <c r="C181" s="1" t="s">
        <v>27</v>
      </c>
      <c r="D181" s="1" t="s">
        <v>28</v>
      </c>
      <c r="E181" s="1" t="s">
        <v>29</v>
      </c>
      <c r="F181" s="1" t="s">
        <v>30</v>
      </c>
      <c r="G181" s="1" t="s">
        <v>31</v>
      </c>
      <c r="H181" s="1">
        <v>1</v>
      </c>
      <c r="I181" s="1">
        <v>15100</v>
      </c>
      <c r="J181" s="1">
        <f t="shared" si="5"/>
        <v>15100</v>
      </c>
    </row>
    <row r="182" spans="1:10" x14ac:dyDescent="0.3">
      <c r="A182" s="2">
        <v>45555</v>
      </c>
      <c r="B182" s="2" t="str">
        <f t="shared" si="4"/>
        <v>September</v>
      </c>
      <c r="C182" s="1" t="s">
        <v>32</v>
      </c>
      <c r="D182" s="1" t="s">
        <v>33</v>
      </c>
      <c r="E182" s="1" t="s">
        <v>34</v>
      </c>
      <c r="F182" s="1" t="s">
        <v>35</v>
      </c>
      <c r="G182" s="1" t="s">
        <v>11</v>
      </c>
      <c r="H182" s="1">
        <v>1</v>
      </c>
      <c r="I182" s="1">
        <v>31900</v>
      </c>
      <c r="J182" s="1">
        <f t="shared" si="5"/>
        <v>31900</v>
      </c>
    </row>
    <row r="183" spans="1:10" x14ac:dyDescent="0.3">
      <c r="A183" s="2">
        <v>45556</v>
      </c>
      <c r="B183" s="2" t="str">
        <f t="shared" si="4"/>
        <v>September</v>
      </c>
      <c r="C183" s="1" t="s">
        <v>36</v>
      </c>
      <c r="D183" s="1" t="s">
        <v>37</v>
      </c>
      <c r="E183" s="1" t="s">
        <v>9</v>
      </c>
      <c r="F183" s="1" t="s">
        <v>38</v>
      </c>
      <c r="G183" s="1" t="s">
        <v>16</v>
      </c>
      <c r="H183" s="1">
        <v>2</v>
      </c>
      <c r="I183" s="1">
        <v>11700</v>
      </c>
      <c r="J183" s="1">
        <f t="shared" si="5"/>
        <v>23400</v>
      </c>
    </row>
    <row r="184" spans="1:10" x14ac:dyDescent="0.3">
      <c r="A184" s="2">
        <v>45557</v>
      </c>
      <c r="B184" s="2" t="str">
        <f t="shared" si="4"/>
        <v>September</v>
      </c>
      <c r="C184" s="1" t="s">
        <v>39</v>
      </c>
      <c r="D184" s="1" t="s">
        <v>40</v>
      </c>
      <c r="E184" s="1" t="s">
        <v>14</v>
      </c>
      <c r="F184" s="1" t="s">
        <v>41</v>
      </c>
      <c r="G184" s="1" t="s">
        <v>21</v>
      </c>
      <c r="H184" s="1">
        <v>1</v>
      </c>
      <c r="I184" s="1">
        <v>17600</v>
      </c>
      <c r="J184" s="1">
        <f t="shared" si="5"/>
        <v>17600</v>
      </c>
    </row>
    <row r="185" spans="1:10" x14ac:dyDescent="0.3">
      <c r="A185" s="2">
        <v>45558</v>
      </c>
      <c r="B185" s="2" t="str">
        <f t="shared" si="4"/>
        <v>September</v>
      </c>
      <c r="C185" s="1" t="s">
        <v>7</v>
      </c>
      <c r="D185" s="1" t="s">
        <v>8</v>
      </c>
      <c r="E185" s="1" t="s">
        <v>19</v>
      </c>
      <c r="F185" s="1" t="s">
        <v>20</v>
      </c>
      <c r="G185" s="1" t="s">
        <v>26</v>
      </c>
      <c r="H185" s="1">
        <v>2</v>
      </c>
      <c r="I185" s="1">
        <v>8800</v>
      </c>
      <c r="J185" s="1">
        <f t="shared" si="5"/>
        <v>17600</v>
      </c>
    </row>
    <row r="186" spans="1:10" x14ac:dyDescent="0.3">
      <c r="A186" s="2">
        <v>45559</v>
      </c>
      <c r="B186" s="2" t="str">
        <f t="shared" si="4"/>
        <v>September</v>
      </c>
      <c r="C186" s="1" t="s">
        <v>12</v>
      </c>
      <c r="D186" s="1" t="s">
        <v>13</v>
      </c>
      <c r="E186" s="1" t="s">
        <v>24</v>
      </c>
      <c r="F186" s="1" t="s">
        <v>43</v>
      </c>
      <c r="G186" s="1" t="s">
        <v>31</v>
      </c>
      <c r="H186" s="1">
        <v>3</v>
      </c>
      <c r="I186" s="1">
        <v>14900</v>
      </c>
      <c r="J186" s="1">
        <f t="shared" si="5"/>
        <v>44700</v>
      </c>
    </row>
    <row r="187" spans="1:10" x14ac:dyDescent="0.3">
      <c r="A187" s="2">
        <v>45560</v>
      </c>
      <c r="B187" s="2" t="str">
        <f t="shared" si="4"/>
        <v>September</v>
      </c>
      <c r="C187" s="1" t="s">
        <v>17</v>
      </c>
      <c r="D187" s="1" t="s">
        <v>18</v>
      </c>
      <c r="E187" s="1" t="s">
        <v>29</v>
      </c>
      <c r="F187" s="1" t="s">
        <v>44</v>
      </c>
      <c r="G187" s="1" t="s">
        <v>11</v>
      </c>
      <c r="H187" s="1">
        <v>1</v>
      </c>
      <c r="I187" s="1">
        <v>32800</v>
      </c>
      <c r="J187" s="1">
        <f t="shared" si="5"/>
        <v>32800</v>
      </c>
    </row>
    <row r="188" spans="1:10" x14ac:dyDescent="0.3">
      <c r="A188" s="2">
        <v>45561</v>
      </c>
      <c r="B188" s="2" t="str">
        <f t="shared" si="4"/>
        <v>September</v>
      </c>
      <c r="C188" s="1" t="s">
        <v>22</v>
      </c>
      <c r="D188" s="1" t="s">
        <v>23</v>
      </c>
      <c r="E188" s="1" t="s">
        <v>34</v>
      </c>
      <c r="F188" s="1" t="s">
        <v>45</v>
      </c>
      <c r="G188" s="1" t="s">
        <v>16</v>
      </c>
      <c r="H188" s="1">
        <v>1</v>
      </c>
      <c r="I188" s="1">
        <v>11800</v>
      </c>
      <c r="J188" s="1">
        <f t="shared" si="5"/>
        <v>11800</v>
      </c>
    </row>
    <row r="189" spans="1:10" x14ac:dyDescent="0.3">
      <c r="A189" s="2">
        <v>45562</v>
      </c>
      <c r="B189" s="2" t="str">
        <f t="shared" si="4"/>
        <v>September</v>
      </c>
      <c r="C189" s="1" t="s">
        <v>27</v>
      </c>
      <c r="D189" s="1" t="s">
        <v>28</v>
      </c>
      <c r="E189" s="1" t="s">
        <v>9</v>
      </c>
      <c r="F189" s="1" t="s">
        <v>46</v>
      </c>
      <c r="G189" s="1" t="s">
        <v>21</v>
      </c>
      <c r="H189" s="1">
        <v>2</v>
      </c>
      <c r="I189" s="1">
        <v>18300</v>
      </c>
      <c r="J189" s="1">
        <f t="shared" si="5"/>
        <v>36600</v>
      </c>
    </row>
    <row r="190" spans="1:10" x14ac:dyDescent="0.3">
      <c r="A190" s="2">
        <v>45563</v>
      </c>
      <c r="B190" s="2" t="str">
        <f t="shared" si="4"/>
        <v>September</v>
      </c>
      <c r="C190" s="1" t="s">
        <v>32</v>
      </c>
      <c r="D190" s="1" t="s">
        <v>33</v>
      </c>
      <c r="E190" s="1" t="s">
        <v>14</v>
      </c>
      <c r="F190" s="1" t="s">
        <v>47</v>
      </c>
      <c r="G190" s="1" t="s">
        <v>26</v>
      </c>
      <c r="H190" s="1">
        <v>1</v>
      </c>
      <c r="I190" s="1">
        <v>8700</v>
      </c>
      <c r="J190" s="1">
        <f t="shared" si="5"/>
        <v>8700</v>
      </c>
    </row>
    <row r="191" spans="1:10" x14ac:dyDescent="0.3">
      <c r="A191" s="2">
        <v>45564</v>
      </c>
      <c r="B191" s="2" t="str">
        <f t="shared" si="4"/>
        <v>September</v>
      </c>
      <c r="C191" s="1" t="s">
        <v>36</v>
      </c>
      <c r="D191" s="1" t="s">
        <v>37</v>
      </c>
      <c r="E191" s="1" t="s">
        <v>19</v>
      </c>
      <c r="F191" s="1" t="s">
        <v>48</v>
      </c>
      <c r="G191" s="1" t="s">
        <v>31</v>
      </c>
      <c r="H191" s="1">
        <v>2</v>
      </c>
      <c r="I191" s="1">
        <v>15200</v>
      </c>
      <c r="J191" s="1">
        <f t="shared" si="5"/>
        <v>30400</v>
      </c>
    </row>
    <row r="192" spans="1:10" x14ac:dyDescent="0.3">
      <c r="A192" s="2">
        <v>45565</v>
      </c>
      <c r="B192" s="2" t="str">
        <f t="shared" si="4"/>
        <v>September</v>
      </c>
      <c r="C192" s="1" t="s">
        <v>39</v>
      </c>
      <c r="D192" s="1" t="s">
        <v>40</v>
      </c>
      <c r="E192" s="1" t="s">
        <v>24</v>
      </c>
      <c r="F192" s="1" t="s">
        <v>49</v>
      </c>
      <c r="G192" s="1" t="s">
        <v>11</v>
      </c>
      <c r="H192" s="1">
        <v>2</v>
      </c>
      <c r="I192" s="1">
        <v>31600</v>
      </c>
      <c r="J192" s="1">
        <f t="shared" si="5"/>
        <v>63200</v>
      </c>
    </row>
    <row r="193" spans="1:10" x14ac:dyDescent="0.3">
      <c r="A193" s="2">
        <v>45565</v>
      </c>
      <c r="B193" s="2" t="str">
        <f t="shared" si="4"/>
        <v>September</v>
      </c>
      <c r="C193" s="1" t="s">
        <v>7</v>
      </c>
      <c r="D193" s="1" t="s">
        <v>8</v>
      </c>
      <c r="E193" s="1" t="s">
        <v>9</v>
      </c>
      <c r="F193" s="1" t="s">
        <v>58</v>
      </c>
      <c r="G193" s="1" t="s">
        <v>31</v>
      </c>
      <c r="H193" s="1">
        <v>2</v>
      </c>
      <c r="I193" s="1">
        <v>15000</v>
      </c>
      <c r="J193" s="1">
        <f t="shared" si="5"/>
        <v>30000</v>
      </c>
    </row>
    <row r="194" spans="1:10" x14ac:dyDescent="0.3">
      <c r="A194" s="2">
        <v>45565</v>
      </c>
      <c r="B194" s="2" t="str">
        <f t="shared" si="4"/>
        <v>September</v>
      </c>
      <c r="C194" s="1" t="s">
        <v>12</v>
      </c>
      <c r="D194" s="1" t="s">
        <v>13</v>
      </c>
      <c r="E194" s="1" t="s">
        <v>9</v>
      </c>
      <c r="F194" s="1" t="s">
        <v>52</v>
      </c>
      <c r="G194" s="1" t="s">
        <v>31</v>
      </c>
      <c r="H194" s="1">
        <v>3</v>
      </c>
      <c r="I194" s="1">
        <v>14900</v>
      </c>
      <c r="J194" s="1">
        <f t="shared" si="5"/>
        <v>44700</v>
      </c>
    </row>
    <row r="195" spans="1:10" x14ac:dyDescent="0.3">
      <c r="A195" s="2">
        <v>45566</v>
      </c>
      <c r="B195" s="2" t="str">
        <f t="shared" si="4"/>
        <v>October</v>
      </c>
      <c r="C195" s="1" t="s">
        <v>32</v>
      </c>
      <c r="D195" s="1" t="s">
        <v>33</v>
      </c>
      <c r="E195" s="1" t="s">
        <v>14</v>
      </c>
      <c r="F195" s="1" t="s">
        <v>47</v>
      </c>
      <c r="G195" s="1" t="s">
        <v>26</v>
      </c>
      <c r="H195" s="1">
        <v>1</v>
      </c>
      <c r="I195" s="1">
        <v>8700</v>
      </c>
      <c r="J195" s="1">
        <f t="shared" si="5"/>
        <v>8700</v>
      </c>
    </row>
    <row r="196" spans="1:10" x14ac:dyDescent="0.3">
      <c r="A196" s="2">
        <v>45566</v>
      </c>
      <c r="B196" s="2" t="str">
        <f t="shared" ref="B196:B259" si="6">TEXT(A196,"mmmm")</f>
        <v>October</v>
      </c>
      <c r="C196" s="1" t="s">
        <v>7</v>
      </c>
      <c r="D196" s="1" t="s">
        <v>8</v>
      </c>
      <c r="E196" s="1" t="s">
        <v>29</v>
      </c>
      <c r="F196" s="1" t="s">
        <v>50</v>
      </c>
      <c r="G196" s="1" t="s">
        <v>16</v>
      </c>
      <c r="H196" s="1">
        <v>1</v>
      </c>
      <c r="I196" s="1">
        <v>11900</v>
      </c>
      <c r="J196" s="1">
        <f t="shared" ref="J196:J259" si="7">I196*H196</f>
        <v>11900</v>
      </c>
    </row>
    <row r="197" spans="1:10" x14ac:dyDescent="0.3">
      <c r="A197" s="2">
        <v>45567</v>
      </c>
      <c r="B197" s="2" t="str">
        <f t="shared" si="6"/>
        <v>October</v>
      </c>
      <c r="C197" s="1" t="s">
        <v>12</v>
      </c>
      <c r="D197" s="1" t="s">
        <v>13</v>
      </c>
      <c r="E197" s="1" t="s">
        <v>34</v>
      </c>
      <c r="F197" s="1" t="s">
        <v>51</v>
      </c>
      <c r="G197" s="1" t="s">
        <v>21</v>
      </c>
      <c r="H197" s="1">
        <v>1</v>
      </c>
      <c r="I197" s="1">
        <v>18100</v>
      </c>
      <c r="J197" s="1">
        <f t="shared" si="7"/>
        <v>18100</v>
      </c>
    </row>
    <row r="198" spans="1:10" x14ac:dyDescent="0.3">
      <c r="A198" s="2">
        <v>45568</v>
      </c>
      <c r="B198" s="2" t="str">
        <f t="shared" si="6"/>
        <v>October</v>
      </c>
      <c r="C198" s="1" t="s">
        <v>17</v>
      </c>
      <c r="D198" s="1" t="s">
        <v>18</v>
      </c>
      <c r="E198" s="1" t="s">
        <v>9</v>
      </c>
      <c r="F198" s="1" t="s">
        <v>52</v>
      </c>
      <c r="G198" s="1" t="s">
        <v>26</v>
      </c>
      <c r="H198" s="1">
        <v>2</v>
      </c>
      <c r="I198" s="1">
        <v>8700</v>
      </c>
      <c r="J198" s="1">
        <f t="shared" si="7"/>
        <v>17400</v>
      </c>
    </row>
    <row r="199" spans="1:10" x14ac:dyDescent="0.3">
      <c r="A199" s="2">
        <v>45569</v>
      </c>
      <c r="B199" s="2" t="str">
        <f t="shared" si="6"/>
        <v>October</v>
      </c>
      <c r="C199" s="1" t="s">
        <v>22</v>
      </c>
      <c r="D199" s="1" t="s">
        <v>23</v>
      </c>
      <c r="E199" s="1" t="s">
        <v>14</v>
      </c>
      <c r="F199" s="1" t="s">
        <v>53</v>
      </c>
      <c r="G199" s="1" t="s">
        <v>31</v>
      </c>
      <c r="H199" s="1">
        <v>1</v>
      </c>
      <c r="I199" s="1">
        <v>14800</v>
      </c>
      <c r="J199" s="1">
        <f t="shared" si="7"/>
        <v>14800</v>
      </c>
    </row>
    <row r="200" spans="1:10" x14ac:dyDescent="0.3">
      <c r="A200" s="2">
        <v>45570</v>
      </c>
      <c r="B200" s="2" t="str">
        <f t="shared" si="6"/>
        <v>October</v>
      </c>
      <c r="C200" s="1" t="s">
        <v>27</v>
      </c>
      <c r="D200" s="1" t="s">
        <v>28</v>
      </c>
      <c r="E200" s="1" t="s">
        <v>19</v>
      </c>
      <c r="F200" s="1" t="s">
        <v>54</v>
      </c>
      <c r="G200" s="1" t="s">
        <v>11</v>
      </c>
      <c r="H200" s="1">
        <v>1</v>
      </c>
      <c r="I200" s="1">
        <v>33100</v>
      </c>
      <c r="J200" s="1">
        <f t="shared" si="7"/>
        <v>33100</v>
      </c>
    </row>
    <row r="201" spans="1:10" x14ac:dyDescent="0.3">
      <c r="A201" s="2">
        <v>45571</v>
      </c>
      <c r="B201" s="2" t="str">
        <f t="shared" si="6"/>
        <v>October</v>
      </c>
      <c r="C201" s="1" t="s">
        <v>32</v>
      </c>
      <c r="D201" s="1" t="s">
        <v>33</v>
      </c>
      <c r="E201" s="1" t="s">
        <v>24</v>
      </c>
      <c r="F201" s="1" t="s">
        <v>55</v>
      </c>
      <c r="G201" s="1" t="s">
        <v>16</v>
      </c>
      <c r="H201" s="1">
        <v>2</v>
      </c>
      <c r="I201" s="1">
        <v>11600</v>
      </c>
      <c r="J201" s="1">
        <f t="shared" si="7"/>
        <v>23200</v>
      </c>
    </row>
    <row r="202" spans="1:10" x14ac:dyDescent="0.3">
      <c r="A202" s="2">
        <v>45572</v>
      </c>
      <c r="B202" s="2" t="str">
        <f t="shared" si="6"/>
        <v>October</v>
      </c>
      <c r="C202" s="1" t="s">
        <v>36</v>
      </c>
      <c r="D202" s="1" t="s">
        <v>37</v>
      </c>
      <c r="E202" s="1" t="s">
        <v>29</v>
      </c>
      <c r="F202" s="1" t="s">
        <v>56</v>
      </c>
      <c r="G202" s="1" t="s">
        <v>21</v>
      </c>
      <c r="H202" s="1">
        <v>3</v>
      </c>
      <c r="I202" s="1">
        <v>17700</v>
      </c>
      <c r="J202" s="1">
        <f t="shared" si="7"/>
        <v>53100</v>
      </c>
    </row>
    <row r="203" spans="1:10" x14ac:dyDescent="0.3">
      <c r="A203" s="2">
        <v>45573</v>
      </c>
      <c r="B203" s="2" t="str">
        <f t="shared" si="6"/>
        <v>October</v>
      </c>
      <c r="C203" s="1" t="s">
        <v>39</v>
      </c>
      <c r="D203" s="1" t="s">
        <v>40</v>
      </c>
      <c r="E203" s="1" t="s">
        <v>34</v>
      </c>
      <c r="F203" s="1" t="s">
        <v>57</v>
      </c>
      <c r="G203" s="1" t="s">
        <v>26</v>
      </c>
      <c r="H203" s="1">
        <v>1</v>
      </c>
      <c r="I203" s="1">
        <v>8500</v>
      </c>
      <c r="J203" s="1">
        <f t="shared" si="7"/>
        <v>8500</v>
      </c>
    </row>
    <row r="204" spans="1:10" x14ac:dyDescent="0.3">
      <c r="A204" s="2">
        <v>45574</v>
      </c>
      <c r="B204" s="2" t="str">
        <f t="shared" si="6"/>
        <v>October</v>
      </c>
      <c r="C204" s="1" t="s">
        <v>7</v>
      </c>
      <c r="D204" s="1" t="s">
        <v>8</v>
      </c>
      <c r="E204" s="1" t="s">
        <v>9</v>
      </c>
      <c r="F204" s="1" t="s">
        <v>58</v>
      </c>
      <c r="G204" s="1" t="s">
        <v>31</v>
      </c>
      <c r="H204" s="1">
        <v>2</v>
      </c>
      <c r="I204" s="1">
        <v>15000</v>
      </c>
      <c r="J204" s="1">
        <f t="shared" si="7"/>
        <v>30000</v>
      </c>
    </row>
    <row r="205" spans="1:10" x14ac:dyDescent="0.3">
      <c r="A205" s="2">
        <v>45575</v>
      </c>
      <c r="B205" s="2" t="str">
        <f t="shared" si="6"/>
        <v>October</v>
      </c>
      <c r="C205" s="1" t="s">
        <v>12</v>
      </c>
      <c r="D205" s="1" t="s">
        <v>13</v>
      </c>
      <c r="E205" s="1" t="s">
        <v>14</v>
      </c>
      <c r="F205" s="1" t="s">
        <v>59</v>
      </c>
      <c r="G205" s="1" t="s">
        <v>11</v>
      </c>
      <c r="H205" s="1">
        <v>1</v>
      </c>
      <c r="I205" s="1">
        <v>31700</v>
      </c>
      <c r="J205" s="1">
        <f t="shared" si="7"/>
        <v>31700</v>
      </c>
    </row>
    <row r="206" spans="1:10" x14ac:dyDescent="0.3">
      <c r="A206" s="2">
        <v>45576</v>
      </c>
      <c r="B206" s="2" t="str">
        <f t="shared" si="6"/>
        <v>October</v>
      </c>
      <c r="C206" s="1" t="s">
        <v>17</v>
      </c>
      <c r="D206" s="1" t="s">
        <v>18</v>
      </c>
      <c r="E206" s="1" t="s">
        <v>19</v>
      </c>
      <c r="F206" s="1" t="s">
        <v>60</v>
      </c>
      <c r="G206" s="1" t="s">
        <v>16</v>
      </c>
      <c r="H206" s="1">
        <v>1</v>
      </c>
      <c r="I206" s="1">
        <v>11500</v>
      </c>
      <c r="J206" s="1">
        <f t="shared" si="7"/>
        <v>11500</v>
      </c>
    </row>
    <row r="207" spans="1:10" x14ac:dyDescent="0.3">
      <c r="A207" s="2">
        <v>45577</v>
      </c>
      <c r="B207" s="2" t="str">
        <f t="shared" si="6"/>
        <v>October</v>
      </c>
      <c r="C207" s="1" t="s">
        <v>22</v>
      </c>
      <c r="D207" s="1" t="s">
        <v>23</v>
      </c>
      <c r="E207" s="1" t="s">
        <v>24</v>
      </c>
      <c r="F207" s="1" t="s">
        <v>61</v>
      </c>
      <c r="G207" s="1" t="s">
        <v>21</v>
      </c>
      <c r="H207" s="1">
        <v>2</v>
      </c>
      <c r="I207" s="1">
        <v>17900</v>
      </c>
      <c r="J207" s="1">
        <f t="shared" si="7"/>
        <v>35800</v>
      </c>
    </row>
    <row r="208" spans="1:10" x14ac:dyDescent="0.3">
      <c r="A208" s="2">
        <v>45578</v>
      </c>
      <c r="B208" s="2" t="str">
        <f t="shared" si="6"/>
        <v>October</v>
      </c>
      <c r="C208" s="1" t="s">
        <v>27</v>
      </c>
      <c r="D208" s="1" t="s">
        <v>28</v>
      </c>
      <c r="E208" s="1" t="s">
        <v>29</v>
      </c>
      <c r="F208" s="1" t="s">
        <v>62</v>
      </c>
      <c r="G208" s="1" t="s">
        <v>26</v>
      </c>
      <c r="H208" s="1">
        <v>3</v>
      </c>
      <c r="I208" s="1">
        <v>8900</v>
      </c>
      <c r="J208" s="1">
        <f t="shared" si="7"/>
        <v>26700</v>
      </c>
    </row>
    <row r="209" spans="1:10" x14ac:dyDescent="0.3">
      <c r="A209" s="2">
        <v>45579</v>
      </c>
      <c r="B209" s="2" t="str">
        <f t="shared" si="6"/>
        <v>October</v>
      </c>
      <c r="C209" s="1" t="s">
        <v>32</v>
      </c>
      <c r="D209" s="1" t="s">
        <v>33</v>
      </c>
      <c r="E209" s="1" t="s">
        <v>34</v>
      </c>
      <c r="F209" s="1" t="s">
        <v>63</v>
      </c>
      <c r="G209" s="1" t="s">
        <v>31</v>
      </c>
      <c r="H209" s="1">
        <v>1</v>
      </c>
      <c r="I209" s="1">
        <v>14900</v>
      </c>
      <c r="J209" s="1">
        <f t="shared" si="7"/>
        <v>14900</v>
      </c>
    </row>
    <row r="210" spans="1:10" x14ac:dyDescent="0.3">
      <c r="A210" s="2">
        <v>45580</v>
      </c>
      <c r="B210" s="2" t="str">
        <f t="shared" si="6"/>
        <v>October</v>
      </c>
      <c r="C210" s="1" t="s">
        <v>36</v>
      </c>
      <c r="D210" s="1" t="s">
        <v>37</v>
      </c>
      <c r="E210" s="1" t="s">
        <v>9</v>
      </c>
      <c r="F210" s="1" t="s">
        <v>64</v>
      </c>
      <c r="G210" s="1" t="s">
        <v>11</v>
      </c>
      <c r="H210" s="1">
        <v>2</v>
      </c>
      <c r="I210" s="1">
        <v>32200</v>
      </c>
      <c r="J210" s="1">
        <f t="shared" si="7"/>
        <v>64400</v>
      </c>
    </row>
    <row r="211" spans="1:10" x14ac:dyDescent="0.3">
      <c r="A211" s="2">
        <v>45581</v>
      </c>
      <c r="B211" s="2" t="str">
        <f t="shared" si="6"/>
        <v>October</v>
      </c>
      <c r="C211" s="1" t="s">
        <v>39</v>
      </c>
      <c r="D211" s="1" t="s">
        <v>40</v>
      </c>
      <c r="E211" s="1" t="s">
        <v>14</v>
      </c>
      <c r="F211" s="1" t="s">
        <v>65</v>
      </c>
      <c r="G211" s="1" t="s">
        <v>16</v>
      </c>
      <c r="H211" s="1">
        <v>1</v>
      </c>
      <c r="I211" s="1">
        <v>12000</v>
      </c>
      <c r="J211" s="1">
        <f t="shared" si="7"/>
        <v>12000</v>
      </c>
    </row>
    <row r="212" spans="1:10" x14ac:dyDescent="0.3">
      <c r="A212" s="2">
        <v>45582</v>
      </c>
      <c r="B212" s="2" t="str">
        <f t="shared" si="6"/>
        <v>October</v>
      </c>
      <c r="C212" s="1" t="s">
        <v>7</v>
      </c>
      <c r="D212" s="1" t="s">
        <v>8</v>
      </c>
      <c r="E212" s="1" t="s">
        <v>19</v>
      </c>
      <c r="F212" s="1" t="s">
        <v>42</v>
      </c>
      <c r="G212" s="1" t="s">
        <v>21</v>
      </c>
      <c r="H212" s="1">
        <v>2</v>
      </c>
      <c r="I212" s="1">
        <v>17900</v>
      </c>
      <c r="J212" s="1">
        <f t="shared" si="7"/>
        <v>35800</v>
      </c>
    </row>
    <row r="213" spans="1:10" x14ac:dyDescent="0.3">
      <c r="A213" s="2">
        <v>45583</v>
      </c>
      <c r="B213" s="2" t="str">
        <f t="shared" si="6"/>
        <v>October</v>
      </c>
      <c r="C213" s="1" t="s">
        <v>12</v>
      </c>
      <c r="D213" s="1" t="s">
        <v>13</v>
      </c>
      <c r="E213" s="1" t="s">
        <v>24</v>
      </c>
      <c r="F213" s="1" t="s">
        <v>25</v>
      </c>
      <c r="G213" s="1" t="s">
        <v>26</v>
      </c>
      <c r="H213" s="1">
        <v>3</v>
      </c>
      <c r="I213" s="1">
        <v>9100</v>
      </c>
      <c r="J213" s="1">
        <f t="shared" si="7"/>
        <v>27300</v>
      </c>
    </row>
    <row r="214" spans="1:10" x14ac:dyDescent="0.3">
      <c r="A214" s="2">
        <v>45584</v>
      </c>
      <c r="B214" s="2" t="str">
        <f t="shared" si="6"/>
        <v>October</v>
      </c>
      <c r="C214" s="1" t="s">
        <v>17</v>
      </c>
      <c r="D214" s="1" t="s">
        <v>18</v>
      </c>
      <c r="E214" s="1" t="s">
        <v>29</v>
      </c>
      <c r="F214" s="1" t="s">
        <v>30</v>
      </c>
      <c r="G214" s="1" t="s">
        <v>31</v>
      </c>
      <c r="H214" s="1">
        <v>1</v>
      </c>
      <c r="I214" s="1">
        <v>15100</v>
      </c>
      <c r="J214" s="1">
        <f t="shared" si="7"/>
        <v>15100</v>
      </c>
    </row>
    <row r="215" spans="1:10" x14ac:dyDescent="0.3">
      <c r="A215" s="2">
        <v>45585</v>
      </c>
      <c r="B215" s="2" t="str">
        <f t="shared" si="6"/>
        <v>October</v>
      </c>
      <c r="C215" s="1" t="s">
        <v>22</v>
      </c>
      <c r="D215" s="1" t="s">
        <v>23</v>
      </c>
      <c r="E215" s="1" t="s">
        <v>34</v>
      </c>
      <c r="F215" s="1" t="s">
        <v>35</v>
      </c>
      <c r="G215" s="1" t="s">
        <v>11</v>
      </c>
      <c r="H215" s="1">
        <v>1</v>
      </c>
      <c r="I215" s="1">
        <v>31900</v>
      </c>
      <c r="J215" s="1">
        <f t="shared" si="7"/>
        <v>31900</v>
      </c>
    </row>
    <row r="216" spans="1:10" x14ac:dyDescent="0.3">
      <c r="A216" s="2">
        <v>45586</v>
      </c>
      <c r="B216" s="2" t="str">
        <f t="shared" si="6"/>
        <v>October</v>
      </c>
      <c r="C216" s="1" t="s">
        <v>27</v>
      </c>
      <c r="D216" s="1" t="s">
        <v>28</v>
      </c>
      <c r="E216" s="1" t="s">
        <v>9</v>
      </c>
      <c r="F216" s="1" t="s">
        <v>38</v>
      </c>
      <c r="G216" s="1" t="s">
        <v>16</v>
      </c>
      <c r="H216" s="1">
        <v>2</v>
      </c>
      <c r="I216" s="1">
        <v>11700</v>
      </c>
      <c r="J216" s="1">
        <f t="shared" si="7"/>
        <v>23400</v>
      </c>
    </row>
    <row r="217" spans="1:10" x14ac:dyDescent="0.3">
      <c r="A217" s="2">
        <v>45587</v>
      </c>
      <c r="B217" s="2" t="str">
        <f t="shared" si="6"/>
        <v>October</v>
      </c>
      <c r="C217" s="1" t="s">
        <v>32</v>
      </c>
      <c r="D217" s="1" t="s">
        <v>33</v>
      </c>
      <c r="E217" s="1" t="s">
        <v>14</v>
      </c>
      <c r="F217" s="1" t="s">
        <v>41</v>
      </c>
      <c r="G217" s="1" t="s">
        <v>21</v>
      </c>
      <c r="H217" s="1">
        <v>1</v>
      </c>
      <c r="I217" s="1">
        <v>17600</v>
      </c>
      <c r="J217" s="1">
        <f t="shared" si="7"/>
        <v>17600</v>
      </c>
    </row>
    <row r="218" spans="1:10" x14ac:dyDescent="0.3">
      <c r="A218" s="2">
        <v>45588</v>
      </c>
      <c r="B218" s="2" t="str">
        <f t="shared" si="6"/>
        <v>October</v>
      </c>
      <c r="C218" s="1" t="s">
        <v>36</v>
      </c>
      <c r="D218" s="1" t="s">
        <v>37</v>
      </c>
      <c r="E218" s="1" t="s">
        <v>19</v>
      </c>
      <c r="F218" s="1" t="s">
        <v>20</v>
      </c>
      <c r="G218" s="1" t="s">
        <v>26</v>
      </c>
      <c r="H218" s="1">
        <v>2</v>
      </c>
      <c r="I218" s="1">
        <v>8800</v>
      </c>
      <c r="J218" s="1">
        <f t="shared" si="7"/>
        <v>17600</v>
      </c>
    </row>
    <row r="219" spans="1:10" x14ac:dyDescent="0.3">
      <c r="A219" s="2">
        <v>45589</v>
      </c>
      <c r="B219" s="2" t="str">
        <f t="shared" si="6"/>
        <v>October</v>
      </c>
      <c r="C219" s="1" t="s">
        <v>39</v>
      </c>
      <c r="D219" s="1" t="s">
        <v>40</v>
      </c>
      <c r="E219" s="1" t="s">
        <v>24</v>
      </c>
      <c r="F219" s="1" t="s">
        <v>43</v>
      </c>
      <c r="G219" s="1" t="s">
        <v>31</v>
      </c>
      <c r="H219" s="1">
        <v>3</v>
      </c>
      <c r="I219" s="1">
        <v>14900</v>
      </c>
      <c r="J219" s="1">
        <f t="shared" si="7"/>
        <v>44700</v>
      </c>
    </row>
    <row r="220" spans="1:10" x14ac:dyDescent="0.3">
      <c r="A220" s="2">
        <v>45590</v>
      </c>
      <c r="B220" s="2" t="str">
        <f t="shared" si="6"/>
        <v>October</v>
      </c>
      <c r="C220" s="1" t="s">
        <v>7</v>
      </c>
      <c r="D220" s="1" t="s">
        <v>8</v>
      </c>
      <c r="E220" s="1" t="s">
        <v>29</v>
      </c>
      <c r="F220" s="1" t="s">
        <v>44</v>
      </c>
      <c r="G220" s="1" t="s">
        <v>11</v>
      </c>
      <c r="H220" s="1">
        <v>1</v>
      </c>
      <c r="I220" s="1">
        <v>32800</v>
      </c>
      <c r="J220" s="1">
        <f t="shared" si="7"/>
        <v>32800</v>
      </c>
    </row>
    <row r="221" spans="1:10" x14ac:dyDescent="0.3">
      <c r="A221" s="2">
        <v>45591</v>
      </c>
      <c r="B221" s="2" t="str">
        <f t="shared" si="6"/>
        <v>October</v>
      </c>
      <c r="C221" s="1" t="s">
        <v>12</v>
      </c>
      <c r="D221" s="1" t="s">
        <v>13</v>
      </c>
      <c r="E221" s="1" t="s">
        <v>34</v>
      </c>
      <c r="F221" s="1" t="s">
        <v>45</v>
      </c>
      <c r="G221" s="1" t="s">
        <v>16</v>
      </c>
      <c r="H221" s="1">
        <v>1</v>
      </c>
      <c r="I221" s="1">
        <v>11800</v>
      </c>
      <c r="J221" s="1">
        <f t="shared" si="7"/>
        <v>11800</v>
      </c>
    </row>
    <row r="222" spans="1:10" x14ac:dyDescent="0.3">
      <c r="A222" s="2">
        <v>45592</v>
      </c>
      <c r="B222" s="2" t="str">
        <f t="shared" si="6"/>
        <v>October</v>
      </c>
      <c r="C222" s="1" t="s">
        <v>17</v>
      </c>
      <c r="D222" s="1" t="s">
        <v>18</v>
      </c>
      <c r="E222" s="1" t="s">
        <v>9</v>
      </c>
      <c r="F222" s="1" t="s">
        <v>46</v>
      </c>
      <c r="G222" s="1" t="s">
        <v>21</v>
      </c>
      <c r="H222" s="1">
        <v>2</v>
      </c>
      <c r="I222" s="1">
        <v>18300</v>
      </c>
      <c r="J222" s="1">
        <f t="shared" si="7"/>
        <v>36600</v>
      </c>
    </row>
    <row r="223" spans="1:10" x14ac:dyDescent="0.3">
      <c r="A223" s="2">
        <v>45593</v>
      </c>
      <c r="B223" s="2" t="str">
        <f t="shared" si="6"/>
        <v>October</v>
      </c>
      <c r="C223" s="1" t="s">
        <v>22</v>
      </c>
      <c r="D223" s="1" t="s">
        <v>23</v>
      </c>
      <c r="E223" s="1" t="s">
        <v>14</v>
      </c>
      <c r="F223" s="1" t="s">
        <v>47</v>
      </c>
      <c r="G223" s="1" t="s">
        <v>26</v>
      </c>
      <c r="H223" s="1">
        <v>1</v>
      </c>
      <c r="I223" s="1">
        <v>8700</v>
      </c>
      <c r="J223" s="1">
        <f t="shared" si="7"/>
        <v>8700</v>
      </c>
    </row>
    <row r="224" spans="1:10" x14ac:dyDescent="0.3">
      <c r="A224" s="2">
        <v>45594</v>
      </c>
      <c r="B224" s="2" t="str">
        <f t="shared" si="6"/>
        <v>October</v>
      </c>
      <c r="C224" s="1" t="s">
        <v>27</v>
      </c>
      <c r="D224" s="1" t="s">
        <v>28</v>
      </c>
      <c r="E224" s="1" t="s">
        <v>19</v>
      </c>
      <c r="F224" s="1" t="s">
        <v>48</v>
      </c>
      <c r="G224" s="1" t="s">
        <v>31</v>
      </c>
      <c r="H224" s="1">
        <v>2</v>
      </c>
      <c r="I224" s="1">
        <v>15200</v>
      </c>
      <c r="J224" s="1">
        <f t="shared" si="7"/>
        <v>30400</v>
      </c>
    </row>
    <row r="225" spans="1:10" x14ac:dyDescent="0.3">
      <c r="A225" s="2">
        <v>45595</v>
      </c>
      <c r="B225" s="2" t="str">
        <f t="shared" si="6"/>
        <v>October</v>
      </c>
      <c r="C225" s="1" t="s">
        <v>32</v>
      </c>
      <c r="D225" s="1" t="s">
        <v>33</v>
      </c>
      <c r="E225" s="1" t="s">
        <v>24</v>
      </c>
      <c r="F225" s="1" t="s">
        <v>49</v>
      </c>
      <c r="G225" s="1" t="s">
        <v>11</v>
      </c>
      <c r="H225" s="1">
        <v>2</v>
      </c>
      <c r="I225" s="1">
        <v>31600</v>
      </c>
      <c r="J225" s="1">
        <f t="shared" si="7"/>
        <v>63200</v>
      </c>
    </row>
    <row r="226" spans="1:10" x14ac:dyDescent="0.3">
      <c r="A226" s="2">
        <v>45596</v>
      </c>
      <c r="B226" s="2" t="str">
        <f t="shared" si="6"/>
        <v>October</v>
      </c>
      <c r="C226" s="1" t="s">
        <v>36</v>
      </c>
      <c r="D226" s="1" t="s">
        <v>37</v>
      </c>
      <c r="E226" s="1" t="s">
        <v>29</v>
      </c>
      <c r="F226" s="1" t="s">
        <v>50</v>
      </c>
      <c r="G226" s="1" t="s">
        <v>16</v>
      </c>
      <c r="H226" s="1">
        <v>1</v>
      </c>
      <c r="I226" s="1">
        <v>11900</v>
      </c>
      <c r="J226" s="1">
        <f t="shared" si="7"/>
        <v>11900</v>
      </c>
    </row>
    <row r="227" spans="1:10" x14ac:dyDescent="0.3">
      <c r="A227" s="2">
        <v>45597</v>
      </c>
      <c r="B227" s="2" t="str">
        <f t="shared" si="6"/>
        <v>November</v>
      </c>
      <c r="C227" s="1" t="s">
        <v>39</v>
      </c>
      <c r="D227" s="1" t="s">
        <v>40</v>
      </c>
      <c r="E227" s="1" t="s">
        <v>34</v>
      </c>
      <c r="F227" s="1" t="s">
        <v>51</v>
      </c>
      <c r="G227" s="1" t="s">
        <v>21</v>
      </c>
      <c r="H227" s="1">
        <v>1</v>
      </c>
      <c r="I227" s="1">
        <v>18100</v>
      </c>
      <c r="J227" s="1">
        <f t="shared" si="7"/>
        <v>18100</v>
      </c>
    </row>
    <row r="228" spans="1:10" x14ac:dyDescent="0.3">
      <c r="A228" s="2">
        <v>45598</v>
      </c>
      <c r="B228" s="2" t="str">
        <f t="shared" si="6"/>
        <v>November</v>
      </c>
      <c r="C228" s="1" t="s">
        <v>7</v>
      </c>
      <c r="D228" s="1" t="s">
        <v>8</v>
      </c>
      <c r="E228" s="1" t="s">
        <v>9</v>
      </c>
      <c r="F228" s="1" t="s">
        <v>52</v>
      </c>
      <c r="G228" s="1" t="s">
        <v>26</v>
      </c>
      <c r="H228" s="1">
        <v>3</v>
      </c>
      <c r="I228" s="1">
        <v>8600</v>
      </c>
      <c r="J228" s="1">
        <f t="shared" si="7"/>
        <v>25800</v>
      </c>
    </row>
    <row r="229" spans="1:10" x14ac:dyDescent="0.3">
      <c r="A229" s="2">
        <v>45599</v>
      </c>
      <c r="B229" s="2" t="str">
        <f t="shared" si="6"/>
        <v>November</v>
      </c>
      <c r="C229" s="1" t="s">
        <v>12</v>
      </c>
      <c r="D229" s="1" t="s">
        <v>13</v>
      </c>
      <c r="E229" s="1" t="s">
        <v>14</v>
      </c>
      <c r="F229" s="1" t="s">
        <v>53</v>
      </c>
      <c r="G229" s="1" t="s">
        <v>31</v>
      </c>
      <c r="H229" s="1">
        <v>1</v>
      </c>
      <c r="I229" s="1">
        <v>14700</v>
      </c>
      <c r="J229" s="1">
        <f t="shared" si="7"/>
        <v>14700</v>
      </c>
    </row>
    <row r="230" spans="1:10" x14ac:dyDescent="0.3">
      <c r="A230" s="2">
        <v>45600</v>
      </c>
      <c r="B230" s="2" t="str">
        <f t="shared" si="6"/>
        <v>November</v>
      </c>
      <c r="C230" s="1" t="s">
        <v>17</v>
      </c>
      <c r="D230" s="1" t="s">
        <v>18</v>
      </c>
      <c r="E230" s="1" t="s">
        <v>19</v>
      </c>
      <c r="F230" s="1" t="s">
        <v>54</v>
      </c>
      <c r="G230" s="1" t="s">
        <v>11</v>
      </c>
      <c r="H230" s="1">
        <v>1</v>
      </c>
      <c r="I230" s="1">
        <v>33100</v>
      </c>
      <c r="J230" s="1">
        <f t="shared" si="7"/>
        <v>33100</v>
      </c>
    </row>
    <row r="231" spans="1:10" x14ac:dyDescent="0.3">
      <c r="A231" s="2">
        <v>45601</v>
      </c>
      <c r="B231" s="2" t="str">
        <f t="shared" si="6"/>
        <v>November</v>
      </c>
      <c r="C231" s="1" t="s">
        <v>22</v>
      </c>
      <c r="D231" s="1" t="s">
        <v>23</v>
      </c>
      <c r="E231" s="1" t="s">
        <v>24</v>
      </c>
      <c r="F231" s="1" t="s">
        <v>55</v>
      </c>
      <c r="G231" s="1" t="s">
        <v>16</v>
      </c>
      <c r="H231" s="1">
        <v>2</v>
      </c>
      <c r="I231" s="1">
        <v>11600</v>
      </c>
      <c r="J231" s="1">
        <f t="shared" si="7"/>
        <v>23200</v>
      </c>
    </row>
    <row r="232" spans="1:10" x14ac:dyDescent="0.3">
      <c r="A232" s="2">
        <v>45602</v>
      </c>
      <c r="B232" s="2" t="str">
        <f t="shared" si="6"/>
        <v>November</v>
      </c>
      <c r="C232" s="1" t="s">
        <v>27</v>
      </c>
      <c r="D232" s="1" t="s">
        <v>28</v>
      </c>
      <c r="E232" s="1" t="s">
        <v>29</v>
      </c>
      <c r="F232" s="1" t="s">
        <v>56</v>
      </c>
      <c r="G232" s="1" t="s">
        <v>21</v>
      </c>
      <c r="H232" s="1">
        <v>3</v>
      </c>
      <c r="I232" s="1">
        <v>17700</v>
      </c>
      <c r="J232" s="1">
        <f t="shared" si="7"/>
        <v>53100</v>
      </c>
    </row>
    <row r="233" spans="1:10" x14ac:dyDescent="0.3">
      <c r="A233" s="2">
        <v>45603</v>
      </c>
      <c r="B233" s="2" t="str">
        <f t="shared" si="6"/>
        <v>November</v>
      </c>
      <c r="C233" s="1" t="s">
        <v>32</v>
      </c>
      <c r="D233" s="1" t="s">
        <v>33</v>
      </c>
      <c r="E233" s="1" t="s">
        <v>34</v>
      </c>
      <c r="F233" s="1" t="s">
        <v>57</v>
      </c>
      <c r="G233" s="1" t="s">
        <v>26</v>
      </c>
      <c r="H233" s="1">
        <v>1</v>
      </c>
      <c r="I233" s="1">
        <v>8500</v>
      </c>
      <c r="J233" s="1">
        <f t="shared" si="7"/>
        <v>8500</v>
      </c>
    </row>
    <row r="234" spans="1:10" x14ac:dyDescent="0.3">
      <c r="A234" s="2">
        <v>45604</v>
      </c>
      <c r="B234" s="2" t="str">
        <f t="shared" si="6"/>
        <v>November</v>
      </c>
      <c r="C234" s="1" t="s">
        <v>36</v>
      </c>
      <c r="D234" s="1" t="s">
        <v>37</v>
      </c>
      <c r="E234" s="1" t="s">
        <v>9</v>
      </c>
      <c r="F234" s="1" t="s">
        <v>58</v>
      </c>
      <c r="G234" s="1" t="s">
        <v>31</v>
      </c>
      <c r="H234" s="1">
        <v>2</v>
      </c>
      <c r="I234" s="1">
        <v>15000</v>
      </c>
      <c r="J234" s="1">
        <f t="shared" si="7"/>
        <v>30000</v>
      </c>
    </row>
    <row r="235" spans="1:10" x14ac:dyDescent="0.3">
      <c r="A235" s="2">
        <v>45605</v>
      </c>
      <c r="B235" s="2" t="str">
        <f t="shared" si="6"/>
        <v>November</v>
      </c>
      <c r="C235" s="1" t="s">
        <v>39</v>
      </c>
      <c r="D235" s="1" t="s">
        <v>40</v>
      </c>
      <c r="E235" s="1" t="s">
        <v>14</v>
      </c>
      <c r="F235" s="1" t="s">
        <v>59</v>
      </c>
      <c r="G235" s="1" t="s">
        <v>11</v>
      </c>
      <c r="H235" s="1">
        <v>1</v>
      </c>
      <c r="I235" s="1">
        <v>31700</v>
      </c>
      <c r="J235" s="1">
        <f t="shared" si="7"/>
        <v>31700</v>
      </c>
    </row>
    <row r="236" spans="1:10" x14ac:dyDescent="0.3">
      <c r="A236" s="2">
        <v>45606</v>
      </c>
      <c r="B236" s="2" t="str">
        <f t="shared" si="6"/>
        <v>November</v>
      </c>
      <c r="C236" s="1" t="s">
        <v>7</v>
      </c>
      <c r="D236" s="1" t="s">
        <v>8</v>
      </c>
      <c r="E236" s="1" t="s">
        <v>19</v>
      </c>
      <c r="F236" s="1" t="s">
        <v>60</v>
      </c>
      <c r="G236" s="1" t="s">
        <v>16</v>
      </c>
      <c r="H236" s="1">
        <v>1</v>
      </c>
      <c r="I236" s="1">
        <v>11500</v>
      </c>
      <c r="J236" s="1">
        <f t="shared" si="7"/>
        <v>11500</v>
      </c>
    </row>
    <row r="237" spans="1:10" x14ac:dyDescent="0.3">
      <c r="A237" s="2">
        <v>45607</v>
      </c>
      <c r="B237" s="2" t="str">
        <f t="shared" si="6"/>
        <v>November</v>
      </c>
      <c r="C237" s="1" t="s">
        <v>12</v>
      </c>
      <c r="D237" s="1" t="s">
        <v>13</v>
      </c>
      <c r="E237" s="1" t="s">
        <v>24</v>
      </c>
      <c r="F237" s="1" t="s">
        <v>61</v>
      </c>
      <c r="G237" s="1" t="s">
        <v>21</v>
      </c>
      <c r="H237" s="1">
        <v>2</v>
      </c>
      <c r="I237" s="1">
        <v>17900</v>
      </c>
      <c r="J237" s="1">
        <f t="shared" si="7"/>
        <v>35800</v>
      </c>
    </row>
    <row r="238" spans="1:10" x14ac:dyDescent="0.3">
      <c r="A238" s="2">
        <v>45608</v>
      </c>
      <c r="B238" s="2" t="str">
        <f t="shared" si="6"/>
        <v>November</v>
      </c>
      <c r="C238" s="1" t="s">
        <v>17</v>
      </c>
      <c r="D238" s="1" t="s">
        <v>18</v>
      </c>
      <c r="E238" s="1" t="s">
        <v>29</v>
      </c>
      <c r="F238" s="1" t="s">
        <v>62</v>
      </c>
      <c r="G238" s="1" t="s">
        <v>26</v>
      </c>
      <c r="H238" s="1">
        <v>3</v>
      </c>
      <c r="I238" s="1">
        <v>8900</v>
      </c>
      <c r="J238" s="1">
        <f t="shared" si="7"/>
        <v>26700</v>
      </c>
    </row>
    <row r="239" spans="1:10" x14ac:dyDescent="0.3">
      <c r="A239" s="2">
        <v>45609</v>
      </c>
      <c r="B239" s="2" t="str">
        <f t="shared" si="6"/>
        <v>November</v>
      </c>
      <c r="C239" s="1" t="s">
        <v>22</v>
      </c>
      <c r="D239" s="1" t="s">
        <v>23</v>
      </c>
      <c r="E239" s="1" t="s">
        <v>34</v>
      </c>
      <c r="F239" s="1" t="s">
        <v>63</v>
      </c>
      <c r="G239" s="1" t="s">
        <v>31</v>
      </c>
      <c r="H239" s="1">
        <v>1</v>
      </c>
      <c r="I239" s="1">
        <v>14900</v>
      </c>
      <c r="J239" s="1">
        <f t="shared" si="7"/>
        <v>14900</v>
      </c>
    </row>
    <row r="240" spans="1:10" x14ac:dyDescent="0.3">
      <c r="A240" s="2">
        <v>45610</v>
      </c>
      <c r="B240" s="2" t="str">
        <f t="shared" si="6"/>
        <v>November</v>
      </c>
      <c r="C240" s="1" t="s">
        <v>27</v>
      </c>
      <c r="D240" s="1" t="s">
        <v>28</v>
      </c>
      <c r="E240" s="1" t="s">
        <v>9</v>
      </c>
      <c r="F240" s="1" t="s">
        <v>64</v>
      </c>
      <c r="G240" s="1" t="s">
        <v>11</v>
      </c>
      <c r="H240" s="1">
        <v>2</v>
      </c>
      <c r="I240" s="1">
        <v>32200</v>
      </c>
      <c r="J240" s="1">
        <f t="shared" si="7"/>
        <v>64400</v>
      </c>
    </row>
    <row r="241" spans="1:10" x14ac:dyDescent="0.3">
      <c r="A241" s="2">
        <v>45611</v>
      </c>
      <c r="B241" s="2" t="str">
        <f t="shared" si="6"/>
        <v>November</v>
      </c>
      <c r="C241" s="1" t="s">
        <v>32</v>
      </c>
      <c r="D241" s="1" t="s">
        <v>33</v>
      </c>
      <c r="E241" s="1" t="s">
        <v>14</v>
      </c>
      <c r="F241" s="1" t="s">
        <v>65</v>
      </c>
      <c r="G241" s="1" t="s">
        <v>16</v>
      </c>
      <c r="H241" s="1">
        <v>1</v>
      </c>
      <c r="I241" s="1">
        <v>12000</v>
      </c>
      <c r="J241" s="1">
        <f t="shared" si="7"/>
        <v>12000</v>
      </c>
    </row>
    <row r="242" spans="1:10" x14ac:dyDescent="0.3">
      <c r="A242" s="2">
        <v>45612</v>
      </c>
      <c r="B242" s="2" t="str">
        <f t="shared" si="6"/>
        <v>November</v>
      </c>
      <c r="C242" s="1" t="s">
        <v>36</v>
      </c>
      <c r="D242" s="1" t="s">
        <v>37</v>
      </c>
      <c r="E242" s="1" t="s">
        <v>19</v>
      </c>
      <c r="F242" s="1" t="s">
        <v>42</v>
      </c>
      <c r="G242" s="1" t="s">
        <v>21</v>
      </c>
      <c r="H242" s="1">
        <v>2</v>
      </c>
      <c r="I242" s="1">
        <v>17900</v>
      </c>
      <c r="J242" s="1">
        <f t="shared" si="7"/>
        <v>35800</v>
      </c>
    </row>
    <row r="243" spans="1:10" x14ac:dyDescent="0.3">
      <c r="A243" s="2">
        <v>45613</v>
      </c>
      <c r="B243" s="2" t="str">
        <f t="shared" si="6"/>
        <v>November</v>
      </c>
      <c r="C243" s="1" t="s">
        <v>39</v>
      </c>
      <c r="D243" s="1" t="s">
        <v>40</v>
      </c>
      <c r="E243" s="1" t="s">
        <v>24</v>
      </c>
      <c r="F243" s="1" t="s">
        <v>25</v>
      </c>
      <c r="G243" s="1" t="s">
        <v>26</v>
      </c>
      <c r="H243" s="1">
        <v>3</v>
      </c>
      <c r="I243" s="1">
        <v>9100</v>
      </c>
      <c r="J243" s="1">
        <f t="shared" si="7"/>
        <v>27300</v>
      </c>
    </row>
    <row r="244" spans="1:10" x14ac:dyDescent="0.3">
      <c r="A244" s="2">
        <v>45614</v>
      </c>
      <c r="B244" s="2" t="str">
        <f t="shared" si="6"/>
        <v>November</v>
      </c>
      <c r="C244" s="1" t="s">
        <v>7</v>
      </c>
      <c r="D244" s="1" t="s">
        <v>8</v>
      </c>
      <c r="E244" s="1" t="s">
        <v>29</v>
      </c>
      <c r="F244" s="1" t="s">
        <v>30</v>
      </c>
      <c r="G244" s="1" t="s">
        <v>31</v>
      </c>
      <c r="H244" s="1">
        <v>1</v>
      </c>
      <c r="I244" s="1">
        <v>15100</v>
      </c>
      <c r="J244" s="1">
        <f t="shared" si="7"/>
        <v>15100</v>
      </c>
    </row>
    <row r="245" spans="1:10" x14ac:dyDescent="0.3">
      <c r="A245" s="2">
        <v>45615</v>
      </c>
      <c r="B245" s="2" t="str">
        <f t="shared" si="6"/>
        <v>November</v>
      </c>
      <c r="C245" s="1" t="s">
        <v>12</v>
      </c>
      <c r="D245" s="1" t="s">
        <v>13</v>
      </c>
      <c r="E245" s="1" t="s">
        <v>34</v>
      </c>
      <c r="F245" s="1" t="s">
        <v>35</v>
      </c>
      <c r="G245" s="1" t="s">
        <v>11</v>
      </c>
      <c r="H245" s="1">
        <v>1</v>
      </c>
      <c r="I245" s="1">
        <v>31900</v>
      </c>
      <c r="J245" s="1">
        <f t="shared" si="7"/>
        <v>31900</v>
      </c>
    </row>
    <row r="246" spans="1:10" x14ac:dyDescent="0.3">
      <c r="A246" s="2">
        <v>45616</v>
      </c>
      <c r="B246" s="2" t="str">
        <f t="shared" si="6"/>
        <v>November</v>
      </c>
      <c r="C246" s="1" t="s">
        <v>17</v>
      </c>
      <c r="D246" s="1" t="s">
        <v>18</v>
      </c>
      <c r="E246" s="1" t="s">
        <v>9</v>
      </c>
      <c r="F246" s="1" t="s">
        <v>38</v>
      </c>
      <c r="G246" s="1" t="s">
        <v>16</v>
      </c>
      <c r="H246" s="1">
        <v>2</v>
      </c>
      <c r="I246" s="1">
        <v>11700</v>
      </c>
      <c r="J246" s="1">
        <f t="shared" si="7"/>
        <v>23400</v>
      </c>
    </row>
    <row r="247" spans="1:10" x14ac:dyDescent="0.3">
      <c r="A247" s="2">
        <v>45617</v>
      </c>
      <c r="B247" s="2" t="str">
        <f t="shared" si="6"/>
        <v>November</v>
      </c>
      <c r="C247" s="1" t="s">
        <v>22</v>
      </c>
      <c r="D247" s="1" t="s">
        <v>23</v>
      </c>
      <c r="E247" s="1" t="s">
        <v>14</v>
      </c>
      <c r="F247" s="1" t="s">
        <v>41</v>
      </c>
      <c r="G247" s="1" t="s">
        <v>21</v>
      </c>
      <c r="H247" s="1">
        <v>1</v>
      </c>
      <c r="I247" s="1">
        <v>17600</v>
      </c>
      <c r="J247" s="1">
        <f t="shared" si="7"/>
        <v>17600</v>
      </c>
    </row>
    <row r="248" spans="1:10" x14ac:dyDescent="0.3">
      <c r="A248" s="2">
        <v>45618</v>
      </c>
      <c r="B248" s="2" t="str">
        <f t="shared" si="6"/>
        <v>November</v>
      </c>
      <c r="C248" s="1" t="s">
        <v>27</v>
      </c>
      <c r="D248" s="1" t="s">
        <v>28</v>
      </c>
      <c r="E248" s="1" t="s">
        <v>19</v>
      </c>
      <c r="F248" s="1" t="s">
        <v>20</v>
      </c>
      <c r="G248" s="1" t="s">
        <v>26</v>
      </c>
      <c r="H248" s="1">
        <v>2</v>
      </c>
      <c r="I248" s="1">
        <v>8800</v>
      </c>
      <c r="J248" s="1">
        <f t="shared" si="7"/>
        <v>17600</v>
      </c>
    </row>
    <row r="249" spans="1:10" x14ac:dyDescent="0.3">
      <c r="A249" s="2">
        <v>45619</v>
      </c>
      <c r="B249" s="2" t="str">
        <f t="shared" si="6"/>
        <v>November</v>
      </c>
      <c r="C249" s="1" t="s">
        <v>32</v>
      </c>
      <c r="D249" s="1" t="s">
        <v>33</v>
      </c>
      <c r="E249" s="1" t="s">
        <v>24</v>
      </c>
      <c r="F249" s="1" t="s">
        <v>43</v>
      </c>
      <c r="G249" s="1" t="s">
        <v>31</v>
      </c>
      <c r="H249" s="1">
        <v>3</v>
      </c>
      <c r="I249" s="1">
        <v>14900</v>
      </c>
      <c r="J249" s="1">
        <f t="shared" si="7"/>
        <v>44700</v>
      </c>
    </row>
    <row r="250" spans="1:10" x14ac:dyDescent="0.3">
      <c r="A250" s="2">
        <v>45620</v>
      </c>
      <c r="B250" s="2" t="str">
        <f t="shared" si="6"/>
        <v>November</v>
      </c>
      <c r="C250" s="1" t="s">
        <v>36</v>
      </c>
      <c r="D250" s="1" t="s">
        <v>37</v>
      </c>
      <c r="E250" s="1" t="s">
        <v>29</v>
      </c>
      <c r="F250" s="1" t="s">
        <v>44</v>
      </c>
      <c r="G250" s="1" t="s">
        <v>11</v>
      </c>
      <c r="H250" s="1">
        <v>1</v>
      </c>
      <c r="I250" s="1">
        <v>32800</v>
      </c>
      <c r="J250" s="1">
        <f t="shared" si="7"/>
        <v>32800</v>
      </c>
    </row>
    <row r="251" spans="1:10" x14ac:dyDescent="0.3">
      <c r="A251" s="2">
        <v>45621</v>
      </c>
      <c r="B251" s="2" t="str">
        <f t="shared" si="6"/>
        <v>November</v>
      </c>
      <c r="C251" s="1" t="s">
        <v>39</v>
      </c>
      <c r="D251" s="1" t="s">
        <v>40</v>
      </c>
      <c r="E251" s="1" t="s">
        <v>34</v>
      </c>
      <c r="F251" s="1" t="s">
        <v>45</v>
      </c>
      <c r="G251" s="1" t="s">
        <v>16</v>
      </c>
      <c r="H251" s="1">
        <v>1</v>
      </c>
      <c r="I251" s="1">
        <v>11800</v>
      </c>
      <c r="J251" s="1">
        <f t="shared" si="7"/>
        <v>11800</v>
      </c>
    </row>
    <row r="252" spans="1:10" x14ac:dyDescent="0.3">
      <c r="A252" s="2">
        <v>45622</v>
      </c>
      <c r="B252" s="2" t="str">
        <f t="shared" si="6"/>
        <v>November</v>
      </c>
      <c r="C252" s="1" t="s">
        <v>7</v>
      </c>
      <c r="D252" s="1" t="s">
        <v>8</v>
      </c>
      <c r="E252" s="1" t="s">
        <v>9</v>
      </c>
      <c r="F252" s="1" t="s">
        <v>46</v>
      </c>
      <c r="G252" s="1" t="s">
        <v>21</v>
      </c>
      <c r="H252" s="1">
        <v>2</v>
      </c>
      <c r="I252" s="1">
        <v>18300</v>
      </c>
      <c r="J252" s="1">
        <f t="shared" si="7"/>
        <v>36600</v>
      </c>
    </row>
    <row r="253" spans="1:10" x14ac:dyDescent="0.3">
      <c r="A253" s="2">
        <v>45623</v>
      </c>
      <c r="B253" s="2" t="str">
        <f t="shared" si="6"/>
        <v>November</v>
      </c>
      <c r="C253" s="1" t="s">
        <v>12</v>
      </c>
      <c r="D253" s="1" t="s">
        <v>13</v>
      </c>
      <c r="E253" s="1" t="s">
        <v>14</v>
      </c>
      <c r="F253" s="1" t="s">
        <v>47</v>
      </c>
      <c r="G253" s="1" t="s">
        <v>26</v>
      </c>
      <c r="H253" s="1">
        <v>1</v>
      </c>
      <c r="I253" s="1">
        <v>8700</v>
      </c>
      <c r="J253" s="1">
        <f t="shared" si="7"/>
        <v>8700</v>
      </c>
    </row>
    <row r="254" spans="1:10" x14ac:dyDescent="0.3">
      <c r="A254" s="2">
        <v>45624</v>
      </c>
      <c r="B254" s="2" t="str">
        <f t="shared" si="6"/>
        <v>November</v>
      </c>
      <c r="C254" s="1" t="s">
        <v>17</v>
      </c>
      <c r="D254" s="1" t="s">
        <v>18</v>
      </c>
      <c r="E254" s="1" t="s">
        <v>19</v>
      </c>
      <c r="F254" s="1" t="s">
        <v>48</v>
      </c>
      <c r="G254" s="1" t="s">
        <v>31</v>
      </c>
      <c r="H254" s="1">
        <v>2</v>
      </c>
      <c r="I254" s="1">
        <v>15200</v>
      </c>
      <c r="J254" s="1">
        <f t="shared" si="7"/>
        <v>30400</v>
      </c>
    </row>
    <row r="255" spans="1:10" x14ac:dyDescent="0.3">
      <c r="A255" s="2">
        <v>45624</v>
      </c>
      <c r="B255" s="2" t="str">
        <f t="shared" si="6"/>
        <v>November</v>
      </c>
      <c r="C255" s="1" t="s">
        <v>36</v>
      </c>
      <c r="D255" s="1" t="s">
        <v>37</v>
      </c>
      <c r="E255" s="1" t="s">
        <v>29</v>
      </c>
      <c r="F255" s="1" t="s">
        <v>44</v>
      </c>
      <c r="G255" s="1" t="s">
        <v>11</v>
      </c>
      <c r="H255" s="1">
        <v>1</v>
      </c>
      <c r="I255" s="1">
        <v>32800</v>
      </c>
      <c r="J255" s="1">
        <f t="shared" si="7"/>
        <v>32800</v>
      </c>
    </row>
    <row r="256" spans="1:10" x14ac:dyDescent="0.3">
      <c r="A256" s="2">
        <v>45624</v>
      </c>
      <c r="B256" s="2" t="str">
        <f t="shared" si="6"/>
        <v>November</v>
      </c>
      <c r="C256" s="1" t="s">
        <v>39</v>
      </c>
      <c r="D256" s="1" t="s">
        <v>40</v>
      </c>
      <c r="E256" s="1" t="s">
        <v>24</v>
      </c>
      <c r="F256" s="1" t="s">
        <v>25</v>
      </c>
      <c r="G256" s="1" t="s">
        <v>26</v>
      </c>
      <c r="H256" s="1">
        <v>3</v>
      </c>
      <c r="I256" s="1">
        <v>9100</v>
      </c>
      <c r="J256" s="1">
        <f t="shared" si="7"/>
        <v>27300</v>
      </c>
    </row>
    <row r="257" spans="1:10" x14ac:dyDescent="0.3">
      <c r="A257" s="2">
        <v>45625</v>
      </c>
      <c r="B257" s="2" t="str">
        <f t="shared" si="6"/>
        <v>November</v>
      </c>
      <c r="C257" s="1" t="s">
        <v>22</v>
      </c>
      <c r="D257" s="1" t="s">
        <v>23</v>
      </c>
      <c r="E257" s="1" t="s">
        <v>9</v>
      </c>
      <c r="F257" s="1" t="s">
        <v>38</v>
      </c>
      <c r="G257" s="1" t="s">
        <v>16</v>
      </c>
      <c r="H257" s="1">
        <v>2</v>
      </c>
      <c r="I257" s="1">
        <v>11700</v>
      </c>
      <c r="J257" s="1">
        <f t="shared" si="7"/>
        <v>23400</v>
      </c>
    </row>
    <row r="258" spans="1:10" x14ac:dyDescent="0.3">
      <c r="A258" s="2">
        <v>45625</v>
      </c>
      <c r="B258" s="2" t="str">
        <f t="shared" si="6"/>
        <v>November</v>
      </c>
      <c r="C258" s="1" t="s">
        <v>22</v>
      </c>
      <c r="D258" s="1" t="s">
        <v>23</v>
      </c>
      <c r="E258" s="1" t="s">
        <v>24</v>
      </c>
      <c r="F258" s="1" t="s">
        <v>49</v>
      </c>
      <c r="G258" s="1" t="s">
        <v>11</v>
      </c>
      <c r="H258" s="1">
        <v>2</v>
      </c>
      <c r="I258" s="1">
        <v>31600</v>
      </c>
      <c r="J258" s="1">
        <f t="shared" si="7"/>
        <v>63200</v>
      </c>
    </row>
    <row r="259" spans="1:10" x14ac:dyDescent="0.3">
      <c r="A259" s="2">
        <v>45626</v>
      </c>
      <c r="B259" s="2" t="str">
        <f t="shared" si="6"/>
        <v>November</v>
      </c>
      <c r="C259" s="1" t="s">
        <v>27</v>
      </c>
      <c r="D259" s="1" t="s">
        <v>28</v>
      </c>
      <c r="E259" s="1" t="s">
        <v>29</v>
      </c>
      <c r="F259" s="1" t="s">
        <v>50</v>
      </c>
      <c r="G259" s="1" t="s">
        <v>16</v>
      </c>
      <c r="H259" s="1">
        <v>1</v>
      </c>
      <c r="I259" s="1">
        <v>11900</v>
      </c>
      <c r="J259" s="1">
        <f t="shared" si="7"/>
        <v>11900</v>
      </c>
    </row>
    <row r="260" spans="1:10" x14ac:dyDescent="0.3">
      <c r="A260" s="2">
        <v>45627</v>
      </c>
      <c r="B260" s="2" t="str">
        <f t="shared" ref="B260:B323" si="8">TEXT(A260,"mmmm")</f>
        <v>December</v>
      </c>
      <c r="C260" s="1" t="s">
        <v>7</v>
      </c>
      <c r="D260" s="1" t="s">
        <v>8</v>
      </c>
      <c r="E260" s="1" t="s">
        <v>19</v>
      </c>
      <c r="F260" s="1" t="s">
        <v>20</v>
      </c>
      <c r="G260" s="1" t="s">
        <v>11</v>
      </c>
      <c r="H260" s="1">
        <v>1</v>
      </c>
      <c r="I260" s="1">
        <v>32500</v>
      </c>
      <c r="J260" s="1">
        <f t="shared" ref="J260:J323" si="9">I260*H260</f>
        <v>32500</v>
      </c>
    </row>
    <row r="261" spans="1:10" x14ac:dyDescent="0.3">
      <c r="A261" s="2">
        <v>45628</v>
      </c>
      <c r="B261" s="2" t="str">
        <f t="shared" si="8"/>
        <v>December</v>
      </c>
      <c r="C261" s="1" t="s">
        <v>12</v>
      </c>
      <c r="D261" s="1" t="s">
        <v>13</v>
      </c>
      <c r="E261" s="1" t="s">
        <v>24</v>
      </c>
      <c r="F261" s="1" t="s">
        <v>25</v>
      </c>
      <c r="G261" s="1" t="s">
        <v>16</v>
      </c>
      <c r="H261" s="1">
        <v>2</v>
      </c>
      <c r="I261" s="1">
        <v>11800</v>
      </c>
      <c r="J261" s="1">
        <f t="shared" si="9"/>
        <v>23600</v>
      </c>
    </row>
    <row r="262" spans="1:10" x14ac:dyDescent="0.3">
      <c r="A262" s="2">
        <v>45629</v>
      </c>
      <c r="B262" s="2" t="str">
        <f t="shared" si="8"/>
        <v>December</v>
      </c>
      <c r="C262" s="1" t="s">
        <v>17</v>
      </c>
      <c r="D262" s="1" t="s">
        <v>18</v>
      </c>
      <c r="E262" s="1" t="s">
        <v>29</v>
      </c>
      <c r="F262" s="1" t="s">
        <v>30</v>
      </c>
      <c r="G262" s="1" t="s">
        <v>21</v>
      </c>
      <c r="H262" s="1">
        <v>1</v>
      </c>
      <c r="I262" s="1">
        <v>18200</v>
      </c>
      <c r="J262" s="1">
        <f t="shared" si="9"/>
        <v>18200</v>
      </c>
    </row>
    <row r="263" spans="1:10" x14ac:dyDescent="0.3">
      <c r="A263" s="2">
        <v>45630</v>
      </c>
      <c r="B263" s="2" t="str">
        <f t="shared" si="8"/>
        <v>December</v>
      </c>
      <c r="C263" s="1" t="s">
        <v>22</v>
      </c>
      <c r="D263" s="1" t="s">
        <v>23</v>
      </c>
      <c r="E263" s="1" t="s">
        <v>34</v>
      </c>
      <c r="F263" s="1" t="s">
        <v>35</v>
      </c>
      <c r="G263" s="1" t="s">
        <v>26</v>
      </c>
      <c r="H263" s="1">
        <v>3</v>
      </c>
      <c r="I263" s="1">
        <v>8900</v>
      </c>
      <c r="J263" s="1">
        <f t="shared" si="9"/>
        <v>26700</v>
      </c>
    </row>
    <row r="264" spans="1:10" x14ac:dyDescent="0.3">
      <c r="A264" s="2">
        <v>45631</v>
      </c>
      <c r="B264" s="2" t="str">
        <f t="shared" si="8"/>
        <v>December</v>
      </c>
      <c r="C264" s="1" t="s">
        <v>27</v>
      </c>
      <c r="D264" s="1" t="s">
        <v>28</v>
      </c>
      <c r="E264" s="1" t="s">
        <v>9</v>
      </c>
      <c r="F264" s="1" t="s">
        <v>38</v>
      </c>
      <c r="G264" s="1" t="s">
        <v>31</v>
      </c>
      <c r="H264" s="1">
        <v>1</v>
      </c>
      <c r="I264" s="1">
        <v>15000</v>
      </c>
      <c r="J264" s="1">
        <f t="shared" si="9"/>
        <v>15000</v>
      </c>
    </row>
    <row r="265" spans="1:10" x14ac:dyDescent="0.3">
      <c r="A265" s="2">
        <v>45632</v>
      </c>
      <c r="B265" s="2" t="str">
        <f t="shared" si="8"/>
        <v>December</v>
      </c>
      <c r="C265" s="1" t="s">
        <v>32</v>
      </c>
      <c r="D265" s="1" t="s">
        <v>33</v>
      </c>
      <c r="E265" s="1" t="s">
        <v>14</v>
      </c>
      <c r="F265" s="1" t="s">
        <v>41</v>
      </c>
      <c r="G265" s="1" t="s">
        <v>11</v>
      </c>
      <c r="H265" s="1">
        <v>2</v>
      </c>
      <c r="I265" s="1">
        <v>32000</v>
      </c>
      <c r="J265" s="1">
        <f t="shared" si="9"/>
        <v>64000</v>
      </c>
    </row>
    <row r="266" spans="1:10" x14ac:dyDescent="0.3">
      <c r="A266" s="2">
        <v>45633</v>
      </c>
      <c r="B266" s="2" t="str">
        <f t="shared" si="8"/>
        <v>December</v>
      </c>
      <c r="C266" s="1" t="s">
        <v>36</v>
      </c>
      <c r="D266" s="1" t="s">
        <v>37</v>
      </c>
      <c r="E266" s="1" t="s">
        <v>19</v>
      </c>
      <c r="F266" s="1" t="s">
        <v>42</v>
      </c>
      <c r="G266" s="1" t="s">
        <v>16</v>
      </c>
      <c r="H266" s="1">
        <v>1</v>
      </c>
      <c r="I266" s="1">
        <v>11700</v>
      </c>
      <c r="J266" s="1">
        <f t="shared" si="9"/>
        <v>11700</v>
      </c>
    </row>
    <row r="267" spans="1:10" x14ac:dyDescent="0.3">
      <c r="A267" s="2">
        <v>45634</v>
      </c>
      <c r="B267" s="2" t="str">
        <f t="shared" si="8"/>
        <v>December</v>
      </c>
      <c r="C267" s="1" t="s">
        <v>39</v>
      </c>
      <c r="D267" s="1" t="s">
        <v>40</v>
      </c>
      <c r="E267" s="1" t="s">
        <v>24</v>
      </c>
      <c r="F267" s="1" t="s">
        <v>49</v>
      </c>
      <c r="G267" s="1" t="s">
        <v>21</v>
      </c>
      <c r="H267" s="1">
        <v>2</v>
      </c>
      <c r="I267" s="1">
        <v>18000</v>
      </c>
      <c r="J267" s="1">
        <f t="shared" si="9"/>
        <v>36000</v>
      </c>
    </row>
    <row r="268" spans="1:10" x14ac:dyDescent="0.3">
      <c r="A268" s="2">
        <v>45635</v>
      </c>
      <c r="B268" s="2" t="str">
        <f t="shared" si="8"/>
        <v>December</v>
      </c>
      <c r="C268" s="1" t="s">
        <v>7</v>
      </c>
      <c r="D268" s="1" t="s">
        <v>8</v>
      </c>
      <c r="E268" s="1" t="s">
        <v>29</v>
      </c>
      <c r="F268" s="1" t="s">
        <v>44</v>
      </c>
      <c r="G268" s="1" t="s">
        <v>26</v>
      </c>
      <c r="H268" s="1">
        <v>1</v>
      </c>
      <c r="I268" s="1">
        <v>8700</v>
      </c>
      <c r="J268" s="1">
        <f t="shared" si="9"/>
        <v>8700</v>
      </c>
    </row>
    <row r="269" spans="1:10" x14ac:dyDescent="0.3">
      <c r="A269" s="2">
        <v>45636</v>
      </c>
      <c r="B269" s="2" t="str">
        <f t="shared" si="8"/>
        <v>December</v>
      </c>
      <c r="C269" s="1" t="s">
        <v>12</v>
      </c>
      <c r="D269" s="1" t="s">
        <v>13</v>
      </c>
      <c r="E269" s="1" t="s">
        <v>34</v>
      </c>
      <c r="F269" s="1" t="s">
        <v>45</v>
      </c>
      <c r="G269" s="1" t="s">
        <v>31</v>
      </c>
      <c r="H269" s="1">
        <v>3</v>
      </c>
      <c r="I269" s="1">
        <v>14900</v>
      </c>
      <c r="J269" s="1">
        <f t="shared" si="9"/>
        <v>44700</v>
      </c>
    </row>
    <row r="270" spans="1:10" x14ac:dyDescent="0.3">
      <c r="A270" s="2">
        <v>45637</v>
      </c>
      <c r="B270" s="2" t="str">
        <f t="shared" si="8"/>
        <v>December</v>
      </c>
      <c r="C270" s="1" t="s">
        <v>17</v>
      </c>
      <c r="D270" s="1" t="s">
        <v>18</v>
      </c>
      <c r="E270" s="1" t="s">
        <v>9</v>
      </c>
      <c r="F270" s="1" t="s">
        <v>46</v>
      </c>
      <c r="G270" s="1" t="s">
        <v>11</v>
      </c>
      <c r="H270" s="1">
        <v>1</v>
      </c>
      <c r="I270" s="1">
        <v>33000</v>
      </c>
      <c r="J270" s="1">
        <f t="shared" si="9"/>
        <v>33000</v>
      </c>
    </row>
    <row r="271" spans="1:10" x14ac:dyDescent="0.3">
      <c r="A271" s="2">
        <v>45638</v>
      </c>
      <c r="B271" s="2" t="str">
        <f t="shared" si="8"/>
        <v>December</v>
      </c>
      <c r="C271" s="1" t="s">
        <v>22</v>
      </c>
      <c r="D271" s="1" t="s">
        <v>23</v>
      </c>
      <c r="E271" s="1" t="s">
        <v>14</v>
      </c>
      <c r="F271" s="1" t="s">
        <v>47</v>
      </c>
      <c r="G271" s="1" t="s">
        <v>16</v>
      </c>
      <c r="H271" s="1">
        <v>2</v>
      </c>
      <c r="I271" s="1">
        <v>11600</v>
      </c>
      <c r="J271" s="1">
        <f t="shared" si="9"/>
        <v>23200</v>
      </c>
    </row>
    <row r="272" spans="1:10" x14ac:dyDescent="0.3">
      <c r="A272" s="2">
        <v>45639</v>
      </c>
      <c r="B272" s="2" t="str">
        <f t="shared" si="8"/>
        <v>December</v>
      </c>
      <c r="C272" s="1" t="s">
        <v>27</v>
      </c>
      <c r="D272" s="1" t="s">
        <v>28</v>
      </c>
      <c r="E272" s="1" t="s">
        <v>19</v>
      </c>
      <c r="F272" s="1" t="s">
        <v>48</v>
      </c>
      <c r="G272" s="1" t="s">
        <v>21</v>
      </c>
      <c r="H272" s="1">
        <v>1</v>
      </c>
      <c r="I272" s="1">
        <v>17900</v>
      </c>
      <c r="J272" s="1">
        <f t="shared" si="9"/>
        <v>17900</v>
      </c>
    </row>
    <row r="273" spans="1:10" x14ac:dyDescent="0.3">
      <c r="A273" s="2">
        <v>45640</v>
      </c>
      <c r="B273" s="2" t="str">
        <f t="shared" si="8"/>
        <v>December</v>
      </c>
      <c r="C273" s="1" t="s">
        <v>32</v>
      </c>
      <c r="D273" s="1" t="s">
        <v>33</v>
      </c>
      <c r="E273" s="1" t="s">
        <v>24</v>
      </c>
      <c r="F273" s="1" t="s">
        <v>55</v>
      </c>
      <c r="G273" s="1" t="s">
        <v>26</v>
      </c>
      <c r="H273" s="1">
        <v>2</v>
      </c>
      <c r="I273" s="1">
        <v>8800</v>
      </c>
      <c r="J273" s="1">
        <f t="shared" si="9"/>
        <v>17600</v>
      </c>
    </row>
    <row r="274" spans="1:10" x14ac:dyDescent="0.3">
      <c r="A274" s="2">
        <v>45641</v>
      </c>
      <c r="B274" s="2" t="str">
        <f t="shared" si="8"/>
        <v>December</v>
      </c>
      <c r="C274" s="1" t="s">
        <v>36</v>
      </c>
      <c r="D274" s="1" t="s">
        <v>37</v>
      </c>
      <c r="E274" s="1" t="s">
        <v>29</v>
      </c>
      <c r="F274" s="1" t="s">
        <v>50</v>
      </c>
      <c r="G274" s="1" t="s">
        <v>31</v>
      </c>
      <c r="H274" s="1">
        <v>1</v>
      </c>
      <c r="I274" s="1">
        <v>15100</v>
      </c>
      <c r="J274" s="1">
        <f t="shared" si="9"/>
        <v>15100</v>
      </c>
    </row>
    <row r="275" spans="1:10" x14ac:dyDescent="0.3">
      <c r="A275" s="2">
        <v>45642</v>
      </c>
      <c r="B275" s="2" t="str">
        <f t="shared" si="8"/>
        <v>December</v>
      </c>
      <c r="C275" s="1" t="s">
        <v>39</v>
      </c>
      <c r="D275" s="1" t="s">
        <v>40</v>
      </c>
      <c r="E275" s="1" t="s">
        <v>34</v>
      </c>
      <c r="F275" s="1" t="s">
        <v>51</v>
      </c>
      <c r="G275" s="1" t="s">
        <v>11</v>
      </c>
      <c r="H275" s="1">
        <v>2</v>
      </c>
      <c r="I275" s="1">
        <v>31800</v>
      </c>
      <c r="J275" s="1">
        <f t="shared" si="9"/>
        <v>63600</v>
      </c>
    </row>
    <row r="276" spans="1:10" x14ac:dyDescent="0.3">
      <c r="A276" s="2">
        <v>45643</v>
      </c>
      <c r="B276" s="2" t="str">
        <f t="shared" si="8"/>
        <v>December</v>
      </c>
      <c r="C276" s="1" t="s">
        <v>7</v>
      </c>
      <c r="D276" s="1" t="s">
        <v>8</v>
      </c>
      <c r="E276" s="1" t="s">
        <v>9</v>
      </c>
      <c r="F276" s="1" t="s">
        <v>52</v>
      </c>
      <c r="G276" s="1" t="s">
        <v>16</v>
      </c>
      <c r="H276" s="1">
        <v>1</v>
      </c>
      <c r="I276" s="1">
        <v>12000</v>
      </c>
      <c r="J276" s="1">
        <f t="shared" si="9"/>
        <v>12000</v>
      </c>
    </row>
    <row r="277" spans="1:10" x14ac:dyDescent="0.3">
      <c r="A277" s="2">
        <v>45644</v>
      </c>
      <c r="B277" s="2" t="str">
        <f t="shared" si="8"/>
        <v>December</v>
      </c>
      <c r="C277" s="1" t="s">
        <v>12</v>
      </c>
      <c r="D277" s="1" t="s">
        <v>13</v>
      </c>
      <c r="E277" s="1" t="s">
        <v>14</v>
      </c>
      <c r="F277" s="1" t="s">
        <v>53</v>
      </c>
      <c r="G277" s="1" t="s">
        <v>21</v>
      </c>
      <c r="H277" s="1">
        <v>2</v>
      </c>
      <c r="I277" s="1">
        <v>17800</v>
      </c>
      <c r="J277" s="1">
        <f t="shared" si="9"/>
        <v>35600</v>
      </c>
    </row>
    <row r="278" spans="1:10" x14ac:dyDescent="0.3">
      <c r="A278" s="2">
        <v>45645</v>
      </c>
      <c r="B278" s="2" t="str">
        <f t="shared" si="8"/>
        <v>December</v>
      </c>
      <c r="C278" s="1" t="s">
        <v>17</v>
      </c>
      <c r="D278" s="1" t="s">
        <v>18</v>
      </c>
      <c r="E278" s="1" t="s">
        <v>19</v>
      </c>
      <c r="F278" s="1" t="s">
        <v>54</v>
      </c>
      <c r="G278" s="1" t="s">
        <v>26</v>
      </c>
      <c r="H278" s="1">
        <v>3</v>
      </c>
      <c r="I278" s="1">
        <v>9100</v>
      </c>
      <c r="J278" s="1">
        <f t="shared" si="9"/>
        <v>27300</v>
      </c>
    </row>
    <row r="279" spans="1:10" x14ac:dyDescent="0.3">
      <c r="A279" s="2">
        <v>45646</v>
      </c>
      <c r="B279" s="2" t="str">
        <f t="shared" si="8"/>
        <v>December</v>
      </c>
      <c r="C279" s="1" t="s">
        <v>22</v>
      </c>
      <c r="D279" s="1" t="s">
        <v>23</v>
      </c>
      <c r="E279" s="1" t="s">
        <v>24</v>
      </c>
      <c r="F279" s="1" t="s">
        <v>61</v>
      </c>
      <c r="G279" s="1" t="s">
        <v>31</v>
      </c>
      <c r="H279" s="1">
        <v>1</v>
      </c>
      <c r="I279" s="1">
        <v>14800</v>
      </c>
      <c r="J279" s="1">
        <f t="shared" si="9"/>
        <v>14800</v>
      </c>
    </row>
    <row r="280" spans="1:10" x14ac:dyDescent="0.3">
      <c r="A280" s="2">
        <v>45647</v>
      </c>
      <c r="B280" s="2" t="str">
        <f t="shared" si="8"/>
        <v>December</v>
      </c>
      <c r="C280" s="1" t="s">
        <v>27</v>
      </c>
      <c r="D280" s="1" t="s">
        <v>28</v>
      </c>
      <c r="E280" s="1" t="s">
        <v>29</v>
      </c>
      <c r="F280" s="1" t="s">
        <v>62</v>
      </c>
      <c r="G280" s="1" t="s">
        <v>11</v>
      </c>
      <c r="H280" s="1">
        <v>1</v>
      </c>
      <c r="I280" s="1">
        <v>32700</v>
      </c>
      <c r="J280" s="1">
        <f t="shared" si="9"/>
        <v>32700</v>
      </c>
    </row>
    <row r="281" spans="1:10" x14ac:dyDescent="0.3">
      <c r="A281" s="2">
        <v>45648</v>
      </c>
      <c r="B281" s="2" t="str">
        <f t="shared" si="8"/>
        <v>December</v>
      </c>
      <c r="C281" s="1" t="s">
        <v>32</v>
      </c>
      <c r="D281" s="1" t="s">
        <v>33</v>
      </c>
      <c r="E281" s="1" t="s">
        <v>34</v>
      </c>
      <c r="F281" s="1" t="s">
        <v>63</v>
      </c>
      <c r="G281" s="1" t="s">
        <v>16</v>
      </c>
      <c r="H281" s="1">
        <v>2</v>
      </c>
      <c r="I281" s="1">
        <v>11500</v>
      </c>
      <c r="J281" s="1">
        <f t="shared" si="9"/>
        <v>23000</v>
      </c>
    </row>
    <row r="282" spans="1:10" x14ac:dyDescent="0.3">
      <c r="A282" s="2">
        <v>45649</v>
      </c>
      <c r="B282" s="2" t="str">
        <f t="shared" si="8"/>
        <v>December</v>
      </c>
      <c r="C282" s="1" t="s">
        <v>36</v>
      </c>
      <c r="D282" s="1" t="s">
        <v>37</v>
      </c>
      <c r="E282" s="1" t="s">
        <v>9</v>
      </c>
      <c r="F282" s="1" t="s">
        <v>64</v>
      </c>
      <c r="G282" s="1" t="s">
        <v>21</v>
      </c>
      <c r="H282" s="1">
        <v>1</v>
      </c>
      <c r="I282" s="1">
        <v>17600</v>
      </c>
      <c r="J282" s="1">
        <f t="shared" si="9"/>
        <v>17600</v>
      </c>
    </row>
    <row r="283" spans="1:10" x14ac:dyDescent="0.3">
      <c r="A283" s="2">
        <v>45650</v>
      </c>
      <c r="B283" s="2" t="str">
        <f t="shared" si="8"/>
        <v>December</v>
      </c>
      <c r="C283" s="1" t="s">
        <v>39</v>
      </c>
      <c r="D283" s="1" t="s">
        <v>40</v>
      </c>
      <c r="E283" s="1" t="s">
        <v>14</v>
      </c>
      <c r="F283" s="1" t="s">
        <v>65</v>
      </c>
      <c r="G283" s="1" t="s">
        <v>26</v>
      </c>
      <c r="H283" s="1">
        <v>5</v>
      </c>
      <c r="I283" s="1">
        <v>8500</v>
      </c>
      <c r="J283" s="1">
        <f t="shared" si="9"/>
        <v>42500</v>
      </c>
    </row>
    <row r="284" spans="1:10" x14ac:dyDescent="0.3">
      <c r="A284" s="2">
        <v>45651</v>
      </c>
      <c r="B284" s="2" t="str">
        <f t="shared" si="8"/>
        <v>December</v>
      </c>
      <c r="C284" s="1" t="s">
        <v>7</v>
      </c>
      <c r="D284" s="1" t="s">
        <v>8</v>
      </c>
      <c r="E284" s="1" t="s">
        <v>19</v>
      </c>
      <c r="F284" s="1" t="s">
        <v>60</v>
      </c>
      <c r="G284" s="1" t="s">
        <v>31</v>
      </c>
      <c r="H284" s="1">
        <v>3</v>
      </c>
      <c r="I284" s="1">
        <v>15000</v>
      </c>
      <c r="J284" s="1">
        <f t="shared" si="9"/>
        <v>45000</v>
      </c>
    </row>
    <row r="285" spans="1:10" x14ac:dyDescent="0.3">
      <c r="A285" s="2">
        <v>45652</v>
      </c>
      <c r="B285" s="2" t="str">
        <f t="shared" si="8"/>
        <v>December</v>
      </c>
      <c r="C285" s="1" t="s">
        <v>12</v>
      </c>
      <c r="D285" s="1" t="s">
        <v>13</v>
      </c>
      <c r="E285" s="1" t="s">
        <v>24</v>
      </c>
      <c r="F285" s="1" t="s">
        <v>43</v>
      </c>
      <c r="G285" s="1" t="s">
        <v>11</v>
      </c>
      <c r="H285" s="1">
        <v>1</v>
      </c>
      <c r="I285" s="1">
        <v>31900</v>
      </c>
      <c r="J285" s="1">
        <f t="shared" si="9"/>
        <v>31900</v>
      </c>
    </row>
    <row r="286" spans="1:10" x14ac:dyDescent="0.3">
      <c r="A286" s="2">
        <v>45653</v>
      </c>
      <c r="B286" s="2" t="str">
        <f t="shared" si="8"/>
        <v>December</v>
      </c>
      <c r="C286" s="1" t="s">
        <v>17</v>
      </c>
      <c r="D286" s="1" t="s">
        <v>18</v>
      </c>
      <c r="E286" s="1" t="s">
        <v>29</v>
      </c>
      <c r="F286" s="1" t="s">
        <v>56</v>
      </c>
      <c r="G286" s="1" t="s">
        <v>16</v>
      </c>
      <c r="H286" s="1">
        <v>4</v>
      </c>
      <c r="I286" s="1">
        <v>11800</v>
      </c>
      <c r="J286" s="1">
        <f t="shared" si="9"/>
        <v>47200</v>
      </c>
    </row>
    <row r="287" spans="1:10" x14ac:dyDescent="0.3">
      <c r="A287" s="2">
        <v>45654</v>
      </c>
      <c r="B287" s="2" t="str">
        <f t="shared" si="8"/>
        <v>December</v>
      </c>
      <c r="C287" s="1" t="s">
        <v>22</v>
      </c>
      <c r="D287" s="1" t="s">
        <v>23</v>
      </c>
      <c r="E287" s="1" t="s">
        <v>34</v>
      </c>
      <c r="F287" s="1" t="s">
        <v>57</v>
      </c>
      <c r="G287" s="1" t="s">
        <v>21</v>
      </c>
      <c r="H287" s="1">
        <v>2</v>
      </c>
      <c r="I287" s="1">
        <v>18100</v>
      </c>
      <c r="J287" s="1">
        <f t="shared" si="9"/>
        <v>36200</v>
      </c>
    </row>
    <row r="288" spans="1:10" x14ac:dyDescent="0.3">
      <c r="A288" s="2">
        <v>45655</v>
      </c>
      <c r="B288" s="2" t="str">
        <f t="shared" si="8"/>
        <v>December</v>
      </c>
      <c r="C288" s="1" t="s">
        <v>27</v>
      </c>
      <c r="D288" s="1" t="s">
        <v>28</v>
      </c>
      <c r="E288" s="1" t="s">
        <v>9</v>
      </c>
      <c r="F288" s="1" t="s">
        <v>58</v>
      </c>
      <c r="G288" s="1" t="s">
        <v>26</v>
      </c>
      <c r="H288" s="1">
        <v>6</v>
      </c>
      <c r="I288" s="1">
        <v>8600</v>
      </c>
      <c r="J288" s="1">
        <f t="shared" si="9"/>
        <v>51600</v>
      </c>
    </row>
    <row r="289" spans="1:10" x14ac:dyDescent="0.3">
      <c r="A289" s="2">
        <v>45656</v>
      </c>
      <c r="B289" s="2" t="str">
        <f t="shared" si="8"/>
        <v>December</v>
      </c>
      <c r="C289" s="1" t="s">
        <v>32</v>
      </c>
      <c r="D289" s="1" t="s">
        <v>33</v>
      </c>
      <c r="E289" s="1" t="s">
        <v>14</v>
      </c>
      <c r="F289" s="1" t="s">
        <v>59</v>
      </c>
      <c r="G289" s="1" t="s">
        <v>31</v>
      </c>
      <c r="H289" s="1">
        <v>2</v>
      </c>
      <c r="I289" s="1">
        <v>15200</v>
      </c>
      <c r="J289" s="1">
        <f t="shared" si="9"/>
        <v>30400</v>
      </c>
    </row>
    <row r="290" spans="1:10" x14ac:dyDescent="0.3">
      <c r="A290" s="2">
        <v>45657</v>
      </c>
      <c r="B290" s="2" t="str">
        <f t="shared" si="8"/>
        <v>December</v>
      </c>
      <c r="C290" s="1" t="s">
        <v>36</v>
      </c>
      <c r="D290" s="1" t="s">
        <v>37</v>
      </c>
      <c r="E290" s="1" t="s">
        <v>19</v>
      </c>
      <c r="F290" s="1" t="s">
        <v>20</v>
      </c>
      <c r="G290" s="1" t="s">
        <v>11</v>
      </c>
      <c r="H290" s="1">
        <v>1</v>
      </c>
      <c r="I290" s="1">
        <v>32500</v>
      </c>
      <c r="J290" s="1">
        <f t="shared" si="9"/>
        <v>32500</v>
      </c>
    </row>
    <row r="291" spans="1:10" x14ac:dyDescent="0.3">
      <c r="A291" s="2">
        <v>45658</v>
      </c>
      <c r="B291" s="2" t="str">
        <f t="shared" si="8"/>
        <v>January</v>
      </c>
      <c r="C291" s="1" t="s">
        <v>39</v>
      </c>
      <c r="D291" s="1" t="s">
        <v>40</v>
      </c>
      <c r="E291" s="1" t="s">
        <v>24</v>
      </c>
      <c r="F291" s="1" t="s">
        <v>25</v>
      </c>
      <c r="G291" s="1" t="s">
        <v>16</v>
      </c>
      <c r="H291" s="1">
        <v>2</v>
      </c>
      <c r="I291" s="1">
        <v>11800</v>
      </c>
      <c r="J291" s="1">
        <f t="shared" si="9"/>
        <v>23600</v>
      </c>
    </row>
    <row r="292" spans="1:10" x14ac:dyDescent="0.3">
      <c r="A292" s="2">
        <v>45659</v>
      </c>
      <c r="B292" s="2" t="str">
        <f t="shared" si="8"/>
        <v>January</v>
      </c>
      <c r="C292" s="1" t="s">
        <v>7</v>
      </c>
      <c r="D292" s="1" t="s">
        <v>8</v>
      </c>
      <c r="E292" s="1" t="s">
        <v>29</v>
      </c>
      <c r="F292" s="1" t="s">
        <v>30</v>
      </c>
      <c r="G292" s="1" t="s">
        <v>21</v>
      </c>
      <c r="H292" s="1">
        <v>4</v>
      </c>
      <c r="I292" s="1">
        <v>18200</v>
      </c>
      <c r="J292" s="1">
        <f t="shared" si="9"/>
        <v>72800</v>
      </c>
    </row>
    <row r="293" spans="1:10" x14ac:dyDescent="0.3">
      <c r="A293" s="2">
        <v>45660</v>
      </c>
      <c r="B293" s="2" t="str">
        <f t="shared" si="8"/>
        <v>January</v>
      </c>
      <c r="C293" s="1" t="s">
        <v>12</v>
      </c>
      <c r="D293" s="1" t="s">
        <v>13</v>
      </c>
      <c r="E293" s="1" t="s">
        <v>34</v>
      </c>
      <c r="F293" s="1" t="s">
        <v>35</v>
      </c>
      <c r="G293" s="1" t="s">
        <v>26</v>
      </c>
      <c r="H293" s="1">
        <v>3</v>
      </c>
      <c r="I293" s="1">
        <v>8900</v>
      </c>
      <c r="J293" s="1">
        <f t="shared" si="9"/>
        <v>26700</v>
      </c>
    </row>
    <row r="294" spans="1:10" x14ac:dyDescent="0.3">
      <c r="A294" s="2">
        <v>45661</v>
      </c>
      <c r="B294" s="2" t="str">
        <f t="shared" si="8"/>
        <v>January</v>
      </c>
      <c r="C294" s="1" t="s">
        <v>17</v>
      </c>
      <c r="D294" s="1" t="s">
        <v>18</v>
      </c>
      <c r="E294" s="1" t="s">
        <v>9</v>
      </c>
      <c r="F294" s="1" t="s">
        <v>38</v>
      </c>
      <c r="G294" s="1" t="s">
        <v>31</v>
      </c>
      <c r="H294" s="1">
        <v>1</v>
      </c>
      <c r="I294" s="1">
        <v>15000</v>
      </c>
      <c r="J294" s="1">
        <f t="shared" si="9"/>
        <v>15000</v>
      </c>
    </row>
    <row r="295" spans="1:10" x14ac:dyDescent="0.3">
      <c r="A295" s="2">
        <v>45662</v>
      </c>
      <c r="B295" s="2" t="str">
        <f t="shared" si="8"/>
        <v>January</v>
      </c>
      <c r="C295" s="1" t="s">
        <v>22</v>
      </c>
      <c r="D295" s="1" t="s">
        <v>23</v>
      </c>
      <c r="E295" s="1" t="s">
        <v>14</v>
      </c>
      <c r="F295" s="1" t="s">
        <v>41</v>
      </c>
      <c r="G295" s="1" t="s">
        <v>11</v>
      </c>
      <c r="H295" s="1">
        <v>2</v>
      </c>
      <c r="I295" s="1">
        <v>32000</v>
      </c>
      <c r="J295" s="1">
        <f t="shared" si="9"/>
        <v>64000</v>
      </c>
    </row>
    <row r="296" spans="1:10" x14ac:dyDescent="0.3">
      <c r="A296" s="2">
        <v>45663</v>
      </c>
      <c r="B296" s="2" t="str">
        <f t="shared" si="8"/>
        <v>January</v>
      </c>
      <c r="C296" s="1" t="s">
        <v>27</v>
      </c>
      <c r="D296" s="1" t="s">
        <v>28</v>
      </c>
      <c r="E296" s="1" t="s">
        <v>19</v>
      </c>
      <c r="F296" s="1" t="s">
        <v>42</v>
      </c>
      <c r="G296" s="1" t="s">
        <v>16</v>
      </c>
      <c r="H296" s="1">
        <v>1</v>
      </c>
      <c r="I296" s="1">
        <v>11700</v>
      </c>
      <c r="J296" s="1">
        <f t="shared" si="9"/>
        <v>11700</v>
      </c>
    </row>
    <row r="297" spans="1:10" x14ac:dyDescent="0.3">
      <c r="A297" s="2">
        <v>45664</v>
      </c>
      <c r="B297" s="2" t="str">
        <f t="shared" si="8"/>
        <v>January</v>
      </c>
      <c r="C297" s="1" t="s">
        <v>32</v>
      </c>
      <c r="D297" s="1" t="s">
        <v>33</v>
      </c>
      <c r="E297" s="1" t="s">
        <v>24</v>
      </c>
      <c r="F297" s="1" t="s">
        <v>49</v>
      </c>
      <c r="G297" s="1" t="s">
        <v>21</v>
      </c>
      <c r="H297" s="1">
        <v>2</v>
      </c>
      <c r="I297" s="1">
        <v>18000</v>
      </c>
      <c r="J297" s="1">
        <f t="shared" si="9"/>
        <v>36000</v>
      </c>
    </row>
    <row r="298" spans="1:10" x14ac:dyDescent="0.3">
      <c r="A298" s="2">
        <v>45665</v>
      </c>
      <c r="B298" s="2" t="str">
        <f t="shared" si="8"/>
        <v>January</v>
      </c>
      <c r="C298" s="1" t="s">
        <v>36</v>
      </c>
      <c r="D298" s="1" t="s">
        <v>37</v>
      </c>
      <c r="E298" s="1" t="s">
        <v>29</v>
      </c>
      <c r="F298" s="1" t="s">
        <v>44</v>
      </c>
      <c r="G298" s="1" t="s">
        <v>26</v>
      </c>
      <c r="H298" s="1">
        <v>2</v>
      </c>
      <c r="I298" s="1">
        <v>8700</v>
      </c>
      <c r="J298" s="1">
        <f t="shared" si="9"/>
        <v>17400</v>
      </c>
    </row>
    <row r="299" spans="1:10" x14ac:dyDescent="0.3">
      <c r="A299" s="2">
        <v>45666</v>
      </c>
      <c r="B299" s="2" t="str">
        <f t="shared" si="8"/>
        <v>January</v>
      </c>
      <c r="C299" s="1" t="s">
        <v>39</v>
      </c>
      <c r="D299" s="1" t="s">
        <v>40</v>
      </c>
      <c r="E299" s="1" t="s">
        <v>34</v>
      </c>
      <c r="F299" s="1" t="s">
        <v>45</v>
      </c>
      <c r="G299" s="1" t="s">
        <v>31</v>
      </c>
      <c r="H299" s="1">
        <v>3</v>
      </c>
      <c r="I299" s="1">
        <v>14900</v>
      </c>
      <c r="J299" s="1">
        <f t="shared" si="9"/>
        <v>44700</v>
      </c>
    </row>
    <row r="300" spans="1:10" x14ac:dyDescent="0.3">
      <c r="A300" s="2">
        <v>45667</v>
      </c>
      <c r="B300" s="2" t="str">
        <f t="shared" si="8"/>
        <v>January</v>
      </c>
      <c r="C300" s="1" t="s">
        <v>7</v>
      </c>
      <c r="D300" s="1" t="s">
        <v>8</v>
      </c>
      <c r="E300" s="1" t="s">
        <v>9</v>
      </c>
      <c r="F300" s="1" t="s">
        <v>46</v>
      </c>
      <c r="G300" s="1" t="s">
        <v>11</v>
      </c>
      <c r="H300" s="1">
        <v>1</v>
      </c>
      <c r="I300" s="1">
        <v>33000</v>
      </c>
      <c r="J300" s="1">
        <f t="shared" si="9"/>
        <v>33000</v>
      </c>
    </row>
    <row r="301" spans="1:10" x14ac:dyDescent="0.3">
      <c r="A301" s="2">
        <v>45668</v>
      </c>
      <c r="B301" s="2" t="str">
        <f t="shared" si="8"/>
        <v>January</v>
      </c>
      <c r="C301" s="1" t="s">
        <v>12</v>
      </c>
      <c r="D301" s="1" t="s">
        <v>13</v>
      </c>
      <c r="E301" s="1" t="s">
        <v>14</v>
      </c>
      <c r="F301" s="1" t="s">
        <v>47</v>
      </c>
      <c r="G301" s="1" t="s">
        <v>16</v>
      </c>
      <c r="H301" s="1">
        <v>2</v>
      </c>
      <c r="I301" s="1">
        <v>11600</v>
      </c>
      <c r="J301" s="1">
        <f t="shared" si="9"/>
        <v>23200</v>
      </c>
    </row>
    <row r="302" spans="1:10" x14ac:dyDescent="0.3">
      <c r="A302" s="2">
        <v>45669</v>
      </c>
      <c r="B302" s="2" t="str">
        <f t="shared" si="8"/>
        <v>January</v>
      </c>
      <c r="C302" s="1" t="s">
        <v>17</v>
      </c>
      <c r="D302" s="1" t="s">
        <v>18</v>
      </c>
      <c r="E302" s="1" t="s">
        <v>19</v>
      </c>
      <c r="F302" s="1" t="s">
        <v>48</v>
      </c>
      <c r="G302" s="1" t="s">
        <v>21</v>
      </c>
      <c r="H302" s="1">
        <v>1</v>
      </c>
      <c r="I302" s="1">
        <v>17900</v>
      </c>
      <c r="J302" s="1">
        <f t="shared" si="9"/>
        <v>17900</v>
      </c>
    </row>
    <row r="303" spans="1:10" x14ac:dyDescent="0.3">
      <c r="A303" s="2">
        <v>45670</v>
      </c>
      <c r="B303" s="2" t="str">
        <f t="shared" si="8"/>
        <v>January</v>
      </c>
      <c r="C303" s="1" t="s">
        <v>22</v>
      </c>
      <c r="D303" s="1" t="s">
        <v>23</v>
      </c>
      <c r="E303" s="1" t="s">
        <v>24</v>
      </c>
      <c r="F303" s="1" t="s">
        <v>55</v>
      </c>
      <c r="G303" s="1" t="s">
        <v>26</v>
      </c>
      <c r="H303" s="1">
        <v>2</v>
      </c>
      <c r="I303" s="1">
        <v>8800</v>
      </c>
      <c r="J303" s="1">
        <f t="shared" si="9"/>
        <v>17600</v>
      </c>
    </row>
    <row r="304" spans="1:10" x14ac:dyDescent="0.3">
      <c r="A304" s="2">
        <v>45671</v>
      </c>
      <c r="B304" s="2" t="str">
        <f t="shared" si="8"/>
        <v>January</v>
      </c>
      <c r="C304" s="1" t="s">
        <v>27</v>
      </c>
      <c r="D304" s="1" t="s">
        <v>28</v>
      </c>
      <c r="E304" s="1" t="s">
        <v>29</v>
      </c>
      <c r="F304" s="1" t="s">
        <v>50</v>
      </c>
      <c r="G304" s="1" t="s">
        <v>31</v>
      </c>
      <c r="H304" s="1">
        <v>1</v>
      </c>
      <c r="I304" s="1">
        <v>15100</v>
      </c>
      <c r="J304" s="1">
        <f t="shared" si="9"/>
        <v>15100</v>
      </c>
    </row>
    <row r="305" spans="1:10" x14ac:dyDescent="0.3">
      <c r="A305" s="2">
        <v>45672</v>
      </c>
      <c r="B305" s="2" t="str">
        <f t="shared" si="8"/>
        <v>January</v>
      </c>
      <c r="C305" s="1" t="s">
        <v>32</v>
      </c>
      <c r="D305" s="1" t="s">
        <v>33</v>
      </c>
      <c r="E305" s="1" t="s">
        <v>34</v>
      </c>
      <c r="F305" s="1" t="s">
        <v>51</v>
      </c>
      <c r="G305" s="1" t="s">
        <v>11</v>
      </c>
      <c r="H305" s="1">
        <v>1</v>
      </c>
      <c r="I305" s="1">
        <v>31800</v>
      </c>
      <c r="J305" s="1">
        <f t="shared" si="9"/>
        <v>31800</v>
      </c>
    </row>
    <row r="306" spans="1:10" x14ac:dyDescent="0.3">
      <c r="A306" s="2">
        <v>45673</v>
      </c>
      <c r="B306" s="2" t="str">
        <f t="shared" si="8"/>
        <v>January</v>
      </c>
      <c r="C306" s="1" t="s">
        <v>36</v>
      </c>
      <c r="D306" s="1" t="s">
        <v>37</v>
      </c>
      <c r="E306" s="1" t="s">
        <v>9</v>
      </c>
      <c r="F306" s="1" t="s">
        <v>52</v>
      </c>
      <c r="G306" s="1" t="s">
        <v>16</v>
      </c>
      <c r="H306" s="1">
        <v>1</v>
      </c>
      <c r="I306" s="1">
        <v>12000</v>
      </c>
      <c r="J306" s="1">
        <f t="shared" si="9"/>
        <v>12000</v>
      </c>
    </row>
    <row r="307" spans="1:10" x14ac:dyDescent="0.3">
      <c r="A307" s="2">
        <v>45674</v>
      </c>
      <c r="B307" s="2" t="str">
        <f t="shared" si="8"/>
        <v>January</v>
      </c>
      <c r="C307" s="1" t="s">
        <v>39</v>
      </c>
      <c r="D307" s="1" t="s">
        <v>40</v>
      </c>
      <c r="E307" s="1" t="s">
        <v>14</v>
      </c>
      <c r="F307" s="1" t="s">
        <v>53</v>
      </c>
      <c r="G307" s="1" t="s">
        <v>21</v>
      </c>
      <c r="H307" s="1">
        <v>2</v>
      </c>
      <c r="I307" s="1">
        <v>17800</v>
      </c>
      <c r="J307" s="1">
        <f t="shared" si="9"/>
        <v>35600</v>
      </c>
    </row>
    <row r="308" spans="1:10" x14ac:dyDescent="0.3">
      <c r="A308" s="2">
        <v>45675</v>
      </c>
      <c r="B308" s="2" t="str">
        <f t="shared" si="8"/>
        <v>January</v>
      </c>
      <c r="C308" s="1" t="s">
        <v>7</v>
      </c>
      <c r="D308" s="1" t="s">
        <v>8</v>
      </c>
      <c r="E308" s="1" t="s">
        <v>19</v>
      </c>
      <c r="F308" s="1" t="s">
        <v>54</v>
      </c>
      <c r="G308" s="1" t="s">
        <v>26</v>
      </c>
      <c r="H308" s="1">
        <v>3</v>
      </c>
      <c r="I308" s="1">
        <v>9100</v>
      </c>
      <c r="J308" s="1">
        <f t="shared" si="9"/>
        <v>27300</v>
      </c>
    </row>
    <row r="309" spans="1:10" x14ac:dyDescent="0.3">
      <c r="A309" s="2">
        <v>45676</v>
      </c>
      <c r="B309" s="2" t="str">
        <f t="shared" si="8"/>
        <v>January</v>
      </c>
      <c r="C309" s="1" t="s">
        <v>12</v>
      </c>
      <c r="D309" s="1" t="s">
        <v>13</v>
      </c>
      <c r="E309" s="1" t="s">
        <v>24</v>
      </c>
      <c r="F309" s="1" t="s">
        <v>61</v>
      </c>
      <c r="G309" s="1" t="s">
        <v>31</v>
      </c>
      <c r="H309" s="1">
        <v>1</v>
      </c>
      <c r="I309" s="1">
        <v>14800</v>
      </c>
      <c r="J309" s="1">
        <f t="shared" si="9"/>
        <v>14800</v>
      </c>
    </row>
    <row r="310" spans="1:10" x14ac:dyDescent="0.3">
      <c r="A310" s="2">
        <v>45677</v>
      </c>
      <c r="B310" s="2" t="str">
        <f t="shared" si="8"/>
        <v>January</v>
      </c>
      <c r="C310" s="1" t="s">
        <v>17</v>
      </c>
      <c r="D310" s="1" t="s">
        <v>18</v>
      </c>
      <c r="E310" s="1" t="s">
        <v>29</v>
      </c>
      <c r="F310" s="1" t="s">
        <v>62</v>
      </c>
      <c r="G310" s="1" t="s">
        <v>11</v>
      </c>
      <c r="H310" s="1">
        <v>1</v>
      </c>
      <c r="I310" s="1">
        <v>32700</v>
      </c>
      <c r="J310" s="1">
        <f t="shared" si="9"/>
        <v>32700</v>
      </c>
    </row>
    <row r="311" spans="1:10" x14ac:dyDescent="0.3">
      <c r="A311" s="2">
        <v>45678</v>
      </c>
      <c r="B311" s="2" t="str">
        <f t="shared" si="8"/>
        <v>January</v>
      </c>
      <c r="C311" s="1" t="s">
        <v>22</v>
      </c>
      <c r="D311" s="1" t="s">
        <v>23</v>
      </c>
      <c r="E311" s="1" t="s">
        <v>34</v>
      </c>
      <c r="F311" s="1" t="s">
        <v>63</v>
      </c>
      <c r="G311" s="1" t="s">
        <v>16</v>
      </c>
      <c r="H311" s="1">
        <v>4</v>
      </c>
      <c r="I311" s="1">
        <v>11500</v>
      </c>
      <c r="J311" s="1">
        <f t="shared" si="9"/>
        <v>46000</v>
      </c>
    </row>
    <row r="312" spans="1:10" x14ac:dyDescent="0.3">
      <c r="A312" s="2">
        <v>45679</v>
      </c>
      <c r="B312" s="2" t="str">
        <f t="shared" si="8"/>
        <v>January</v>
      </c>
      <c r="C312" s="1" t="s">
        <v>27</v>
      </c>
      <c r="D312" s="1" t="s">
        <v>28</v>
      </c>
      <c r="E312" s="1" t="s">
        <v>9</v>
      </c>
      <c r="F312" s="1" t="s">
        <v>64</v>
      </c>
      <c r="G312" s="1" t="s">
        <v>21</v>
      </c>
      <c r="H312" s="1">
        <v>1</v>
      </c>
      <c r="I312" s="1">
        <v>17600</v>
      </c>
      <c r="J312" s="1">
        <f t="shared" si="9"/>
        <v>17600</v>
      </c>
    </row>
    <row r="313" spans="1:10" x14ac:dyDescent="0.3">
      <c r="A313" s="2">
        <v>45680</v>
      </c>
      <c r="B313" s="2" t="str">
        <f t="shared" si="8"/>
        <v>January</v>
      </c>
      <c r="C313" s="1" t="s">
        <v>32</v>
      </c>
      <c r="D313" s="1" t="s">
        <v>33</v>
      </c>
      <c r="E313" s="1" t="s">
        <v>14</v>
      </c>
      <c r="F313" s="1" t="s">
        <v>65</v>
      </c>
      <c r="G313" s="1" t="s">
        <v>26</v>
      </c>
      <c r="H313" s="1">
        <v>5</v>
      </c>
      <c r="I313" s="1">
        <v>8500</v>
      </c>
      <c r="J313" s="1">
        <f t="shared" si="9"/>
        <v>42500</v>
      </c>
    </row>
    <row r="314" spans="1:10" x14ac:dyDescent="0.3">
      <c r="A314" s="2">
        <v>45681</v>
      </c>
      <c r="B314" s="2" t="str">
        <f t="shared" si="8"/>
        <v>January</v>
      </c>
      <c r="C314" s="1" t="s">
        <v>36</v>
      </c>
      <c r="D314" s="1" t="s">
        <v>37</v>
      </c>
      <c r="E314" s="1" t="s">
        <v>19</v>
      </c>
      <c r="F314" s="1" t="s">
        <v>60</v>
      </c>
      <c r="G314" s="1" t="s">
        <v>31</v>
      </c>
      <c r="H314" s="1">
        <v>3</v>
      </c>
      <c r="I314" s="1">
        <v>15000</v>
      </c>
      <c r="J314" s="1">
        <f t="shared" si="9"/>
        <v>45000</v>
      </c>
    </row>
    <row r="315" spans="1:10" x14ac:dyDescent="0.3">
      <c r="A315" s="2">
        <v>45682</v>
      </c>
      <c r="B315" s="2" t="str">
        <f t="shared" si="8"/>
        <v>January</v>
      </c>
      <c r="C315" s="1" t="s">
        <v>39</v>
      </c>
      <c r="D315" s="1" t="s">
        <v>40</v>
      </c>
      <c r="E315" s="1" t="s">
        <v>24</v>
      </c>
      <c r="F315" s="1" t="s">
        <v>43</v>
      </c>
      <c r="G315" s="1" t="s">
        <v>11</v>
      </c>
      <c r="H315" s="1">
        <v>1</v>
      </c>
      <c r="I315" s="1">
        <v>31900</v>
      </c>
      <c r="J315" s="1">
        <f t="shared" si="9"/>
        <v>31900</v>
      </c>
    </row>
    <row r="316" spans="1:10" x14ac:dyDescent="0.3">
      <c r="A316" s="2">
        <v>45683</v>
      </c>
      <c r="B316" s="2" t="str">
        <f t="shared" si="8"/>
        <v>January</v>
      </c>
      <c r="C316" s="1" t="s">
        <v>7</v>
      </c>
      <c r="D316" s="1" t="s">
        <v>8</v>
      </c>
      <c r="E316" s="1" t="s">
        <v>29</v>
      </c>
      <c r="F316" s="1" t="s">
        <v>56</v>
      </c>
      <c r="G316" s="1" t="s">
        <v>16</v>
      </c>
      <c r="H316" s="1">
        <v>1</v>
      </c>
      <c r="I316" s="1">
        <v>11800</v>
      </c>
      <c r="J316" s="1">
        <f t="shared" si="9"/>
        <v>11800</v>
      </c>
    </row>
    <row r="317" spans="1:10" x14ac:dyDescent="0.3">
      <c r="A317" s="2">
        <v>45684</v>
      </c>
      <c r="B317" s="2" t="str">
        <f t="shared" si="8"/>
        <v>January</v>
      </c>
      <c r="C317" s="1" t="s">
        <v>12</v>
      </c>
      <c r="D317" s="1" t="s">
        <v>13</v>
      </c>
      <c r="E317" s="1" t="s">
        <v>34</v>
      </c>
      <c r="F317" s="1" t="s">
        <v>57</v>
      </c>
      <c r="G317" s="1" t="s">
        <v>21</v>
      </c>
      <c r="H317" s="1">
        <v>4</v>
      </c>
      <c r="I317" s="1">
        <v>18100</v>
      </c>
      <c r="J317" s="1">
        <f t="shared" si="9"/>
        <v>72400</v>
      </c>
    </row>
    <row r="318" spans="1:10" x14ac:dyDescent="0.3">
      <c r="A318" s="2">
        <v>45685</v>
      </c>
      <c r="B318" s="2" t="str">
        <f t="shared" si="8"/>
        <v>January</v>
      </c>
      <c r="C318" s="1" t="s">
        <v>17</v>
      </c>
      <c r="D318" s="1" t="s">
        <v>18</v>
      </c>
      <c r="E318" s="1" t="s">
        <v>9</v>
      </c>
      <c r="F318" s="1" t="s">
        <v>58</v>
      </c>
      <c r="G318" s="1" t="s">
        <v>26</v>
      </c>
      <c r="H318" s="1">
        <v>1</v>
      </c>
      <c r="I318" s="1">
        <v>8600</v>
      </c>
      <c r="J318" s="1">
        <f t="shared" si="9"/>
        <v>8600</v>
      </c>
    </row>
    <row r="319" spans="1:10" x14ac:dyDescent="0.3">
      <c r="A319" s="2">
        <v>45686</v>
      </c>
      <c r="B319" s="2" t="str">
        <f t="shared" si="8"/>
        <v>January</v>
      </c>
      <c r="C319" s="1" t="s">
        <v>22</v>
      </c>
      <c r="D319" s="1" t="s">
        <v>23</v>
      </c>
      <c r="E319" s="1" t="s">
        <v>14</v>
      </c>
      <c r="F319" s="1" t="s">
        <v>59</v>
      </c>
      <c r="G319" s="1" t="s">
        <v>31</v>
      </c>
      <c r="H319" s="1">
        <v>2</v>
      </c>
      <c r="I319" s="1">
        <v>15200</v>
      </c>
      <c r="J319" s="1">
        <f t="shared" si="9"/>
        <v>30400</v>
      </c>
    </row>
    <row r="320" spans="1:10" x14ac:dyDescent="0.3">
      <c r="A320" s="2">
        <v>45687</v>
      </c>
      <c r="B320" s="2" t="str">
        <f t="shared" si="8"/>
        <v>January</v>
      </c>
      <c r="C320" s="1" t="s">
        <v>27</v>
      </c>
      <c r="D320" s="1" t="s">
        <v>28</v>
      </c>
      <c r="E320" s="1" t="s">
        <v>19</v>
      </c>
      <c r="F320" s="1" t="s">
        <v>20</v>
      </c>
      <c r="G320" s="1" t="s">
        <v>11</v>
      </c>
      <c r="H320" s="1">
        <v>1</v>
      </c>
      <c r="I320" s="1">
        <v>32500</v>
      </c>
      <c r="J320" s="1">
        <f t="shared" si="9"/>
        <v>32500</v>
      </c>
    </row>
    <row r="321" spans="1:10" x14ac:dyDescent="0.3">
      <c r="A321" s="2">
        <v>45688</v>
      </c>
      <c r="B321" s="2" t="str">
        <f t="shared" si="8"/>
        <v>January</v>
      </c>
      <c r="C321" s="1" t="s">
        <v>32</v>
      </c>
      <c r="D321" s="1" t="s">
        <v>33</v>
      </c>
      <c r="E321" s="1" t="s">
        <v>24</v>
      </c>
      <c r="F321" s="1" t="s">
        <v>25</v>
      </c>
      <c r="G321" s="1" t="s">
        <v>16</v>
      </c>
      <c r="H321" s="1">
        <v>2</v>
      </c>
      <c r="I321" s="1">
        <v>11800</v>
      </c>
      <c r="J321" s="1">
        <f t="shared" si="9"/>
        <v>23600</v>
      </c>
    </row>
    <row r="322" spans="1:10" x14ac:dyDescent="0.3">
      <c r="A322" s="2">
        <v>45688</v>
      </c>
      <c r="B322" s="2" t="str">
        <f t="shared" si="8"/>
        <v>January</v>
      </c>
      <c r="C322" s="1" t="s">
        <v>32</v>
      </c>
      <c r="D322" s="1" t="s">
        <v>33</v>
      </c>
      <c r="E322" s="1" t="s">
        <v>14</v>
      </c>
      <c r="F322" s="1" t="s">
        <v>65</v>
      </c>
      <c r="G322" s="1" t="s">
        <v>26</v>
      </c>
      <c r="H322" s="1">
        <v>4</v>
      </c>
      <c r="I322" s="1">
        <v>8500</v>
      </c>
      <c r="J322" s="1">
        <f t="shared" si="9"/>
        <v>34000</v>
      </c>
    </row>
    <row r="323" spans="1:10" x14ac:dyDescent="0.3">
      <c r="A323" s="2">
        <v>45689</v>
      </c>
      <c r="B323" s="2" t="str">
        <f t="shared" si="8"/>
        <v>February</v>
      </c>
      <c r="C323" s="1" t="s">
        <v>17</v>
      </c>
      <c r="D323" s="1" t="s">
        <v>18</v>
      </c>
      <c r="E323" s="1" t="s">
        <v>19</v>
      </c>
      <c r="F323" s="1" t="s">
        <v>42</v>
      </c>
      <c r="G323" s="1" t="s">
        <v>16</v>
      </c>
      <c r="H323" s="1">
        <v>1</v>
      </c>
      <c r="I323" s="1">
        <v>11700</v>
      </c>
      <c r="J323" s="1">
        <f t="shared" si="9"/>
        <v>11700</v>
      </c>
    </row>
    <row r="324" spans="1:10" x14ac:dyDescent="0.3">
      <c r="A324" s="2">
        <v>45689</v>
      </c>
      <c r="B324" s="2" t="str">
        <f t="shared" ref="B324:B384" si="10">TEXT(A324,"mmmm")</f>
        <v>February</v>
      </c>
      <c r="C324" s="1" t="s">
        <v>39</v>
      </c>
      <c r="D324" s="1" t="s">
        <v>40</v>
      </c>
      <c r="E324" s="1" t="s">
        <v>24</v>
      </c>
      <c r="F324" s="1" t="s">
        <v>49</v>
      </c>
      <c r="G324" s="1" t="s">
        <v>21</v>
      </c>
      <c r="H324" s="1">
        <v>2</v>
      </c>
      <c r="I324" s="1">
        <v>18000</v>
      </c>
      <c r="J324" s="1">
        <f t="shared" ref="J324:J384" si="11">I324*H324</f>
        <v>36000</v>
      </c>
    </row>
    <row r="325" spans="1:10" x14ac:dyDescent="0.3">
      <c r="A325" s="2">
        <v>45689</v>
      </c>
      <c r="B325" s="2" t="str">
        <f t="shared" si="10"/>
        <v>February</v>
      </c>
      <c r="C325" s="1" t="s">
        <v>7</v>
      </c>
      <c r="D325" s="1" t="s">
        <v>8</v>
      </c>
      <c r="E325" s="1" t="s">
        <v>19</v>
      </c>
      <c r="F325" s="1" t="s">
        <v>20</v>
      </c>
      <c r="G325" s="1" t="s">
        <v>11</v>
      </c>
      <c r="H325" s="1">
        <v>1</v>
      </c>
      <c r="I325" s="1">
        <v>32500</v>
      </c>
      <c r="J325" s="1">
        <f t="shared" si="11"/>
        <v>32500</v>
      </c>
    </row>
    <row r="326" spans="1:10" x14ac:dyDescent="0.3">
      <c r="A326" s="2">
        <v>45690</v>
      </c>
      <c r="B326" s="2" t="str">
        <f t="shared" si="10"/>
        <v>February</v>
      </c>
      <c r="C326" s="1" t="s">
        <v>12</v>
      </c>
      <c r="D326" s="1" t="s">
        <v>13</v>
      </c>
      <c r="E326" s="1" t="s">
        <v>24</v>
      </c>
      <c r="F326" s="1" t="s">
        <v>25</v>
      </c>
      <c r="G326" s="1" t="s">
        <v>16</v>
      </c>
      <c r="H326" s="1">
        <v>2</v>
      </c>
      <c r="I326" s="1">
        <v>11800</v>
      </c>
      <c r="J326" s="1">
        <f t="shared" si="11"/>
        <v>23600</v>
      </c>
    </row>
    <row r="327" spans="1:10" x14ac:dyDescent="0.3">
      <c r="A327" s="2">
        <v>45691</v>
      </c>
      <c r="B327" s="2" t="str">
        <f t="shared" si="10"/>
        <v>February</v>
      </c>
      <c r="C327" s="1" t="s">
        <v>17</v>
      </c>
      <c r="D327" s="1" t="s">
        <v>18</v>
      </c>
      <c r="E327" s="1" t="s">
        <v>29</v>
      </c>
      <c r="F327" s="1" t="s">
        <v>30</v>
      </c>
      <c r="G327" s="1" t="s">
        <v>21</v>
      </c>
      <c r="H327" s="1">
        <v>1</v>
      </c>
      <c r="I327" s="1">
        <v>18200</v>
      </c>
      <c r="J327" s="1">
        <f t="shared" si="11"/>
        <v>18200</v>
      </c>
    </row>
    <row r="328" spans="1:10" x14ac:dyDescent="0.3">
      <c r="A328" s="2">
        <v>45692</v>
      </c>
      <c r="B328" s="2" t="str">
        <f t="shared" si="10"/>
        <v>February</v>
      </c>
      <c r="C328" s="1" t="s">
        <v>22</v>
      </c>
      <c r="D328" s="1" t="s">
        <v>23</v>
      </c>
      <c r="E328" s="1" t="s">
        <v>34</v>
      </c>
      <c r="F328" s="1" t="s">
        <v>35</v>
      </c>
      <c r="G328" s="1" t="s">
        <v>26</v>
      </c>
      <c r="H328" s="1">
        <v>3</v>
      </c>
      <c r="I328" s="1">
        <v>8900</v>
      </c>
      <c r="J328" s="1">
        <f t="shared" si="11"/>
        <v>26700</v>
      </c>
    </row>
    <row r="329" spans="1:10" x14ac:dyDescent="0.3">
      <c r="A329" s="2">
        <v>45693</v>
      </c>
      <c r="B329" s="2" t="str">
        <f t="shared" si="10"/>
        <v>February</v>
      </c>
      <c r="C329" s="1" t="s">
        <v>27</v>
      </c>
      <c r="D329" s="1" t="s">
        <v>28</v>
      </c>
      <c r="E329" s="1" t="s">
        <v>9</v>
      </c>
      <c r="F329" s="1" t="s">
        <v>38</v>
      </c>
      <c r="G329" s="1" t="s">
        <v>31</v>
      </c>
      <c r="H329" s="1">
        <v>1</v>
      </c>
      <c r="I329" s="1">
        <v>15000</v>
      </c>
      <c r="J329" s="1">
        <f t="shared" si="11"/>
        <v>15000</v>
      </c>
    </row>
    <row r="330" spans="1:10" x14ac:dyDescent="0.3">
      <c r="A330" s="2">
        <v>45694</v>
      </c>
      <c r="B330" s="2" t="str">
        <f t="shared" si="10"/>
        <v>February</v>
      </c>
      <c r="C330" s="1" t="s">
        <v>32</v>
      </c>
      <c r="D330" s="1" t="s">
        <v>33</v>
      </c>
      <c r="E330" s="1" t="s">
        <v>14</v>
      </c>
      <c r="F330" s="1" t="s">
        <v>41</v>
      </c>
      <c r="G330" s="1" t="s">
        <v>11</v>
      </c>
      <c r="H330" s="1">
        <v>2</v>
      </c>
      <c r="I330" s="1">
        <v>32000</v>
      </c>
      <c r="J330" s="1">
        <f t="shared" si="11"/>
        <v>64000</v>
      </c>
    </row>
    <row r="331" spans="1:10" x14ac:dyDescent="0.3">
      <c r="A331" s="2">
        <v>45695</v>
      </c>
      <c r="B331" s="2" t="str">
        <f t="shared" si="10"/>
        <v>February</v>
      </c>
      <c r="C331" s="1" t="s">
        <v>36</v>
      </c>
      <c r="D331" s="1" t="s">
        <v>37</v>
      </c>
      <c r="E331" s="1" t="s">
        <v>19</v>
      </c>
      <c r="F331" s="1" t="s">
        <v>42</v>
      </c>
      <c r="G331" s="1" t="s">
        <v>16</v>
      </c>
      <c r="H331" s="1">
        <v>1</v>
      </c>
      <c r="I331" s="1">
        <v>11700</v>
      </c>
      <c r="J331" s="1">
        <f t="shared" si="11"/>
        <v>11700</v>
      </c>
    </row>
    <row r="332" spans="1:10" x14ac:dyDescent="0.3">
      <c r="A332" s="2">
        <v>45696</v>
      </c>
      <c r="B332" s="2" t="str">
        <f t="shared" si="10"/>
        <v>February</v>
      </c>
      <c r="C332" s="1" t="s">
        <v>39</v>
      </c>
      <c r="D332" s="1" t="s">
        <v>40</v>
      </c>
      <c r="E332" s="1" t="s">
        <v>24</v>
      </c>
      <c r="F332" s="1" t="s">
        <v>49</v>
      </c>
      <c r="G332" s="1" t="s">
        <v>21</v>
      </c>
      <c r="H332" s="1">
        <v>2</v>
      </c>
      <c r="I332" s="1">
        <v>18000</v>
      </c>
      <c r="J332" s="1">
        <f t="shared" si="11"/>
        <v>36000</v>
      </c>
    </row>
    <row r="333" spans="1:10" x14ac:dyDescent="0.3">
      <c r="A333" s="2">
        <v>45697</v>
      </c>
      <c r="B333" s="2" t="str">
        <f t="shared" si="10"/>
        <v>February</v>
      </c>
      <c r="C333" s="1" t="s">
        <v>7</v>
      </c>
      <c r="D333" s="1" t="s">
        <v>8</v>
      </c>
      <c r="E333" s="1" t="s">
        <v>29</v>
      </c>
      <c r="F333" s="1" t="s">
        <v>44</v>
      </c>
      <c r="G333" s="1" t="s">
        <v>26</v>
      </c>
      <c r="H333" s="1">
        <v>1</v>
      </c>
      <c r="I333" s="1">
        <v>8700</v>
      </c>
      <c r="J333" s="1">
        <f t="shared" si="11"/>
        <v>8700</v>
      </c>
    </row>
    <row r="334" spans="1:10" x14ac:dyDescent="0.3">
      <c r="A334" s="2">
        <v>45698</v>
      </c>
      <c r="B334" s="2" t="str">
        <f t="shared" si="10"/>
        <v>February</v>
      </c>
      <c r="C334" s="1" t="s">
        <v>12</v>
      </c>
      <c r="D334" s="1" t="s">
        <v>13</v>
      </c>
      <c r="E334" s="1" t="s">
        <v>34</v>
      </c>
      <c r="F334" s="1" t="s">
        <v>45</v>
      </c>
      <c r="G334" s="1" t="s">
        <v>31</v>
      </c>
      <c r="H334" s="1">
        <v>3</v>
      </c>
      <c r="I334" s="1">
        <v>14900</v>
      </c>
      <c r="J334" s="1">
        <f t="shared" si="11"/>
        <v>44700</v>
      </c>
    </row>
    <row r="335" spans="1:10" x14ac:dyDescent="0.3">
      <c r="A335" s="2">
        <v>45699</v>
      </c>
      <c r="B335" s="2" t="str">
        <f t="shared" si="10"/>
        <v>February</v>
      </c>
      <c r="C335" s="1" t="s">
        <v>17</v>
      </c>
      <c r="D335" s="1" t="s">
        <v>18</v>
      </c>
      <c r="E335" s="1" t="s">
        <v>9</v>
      </c>
      <c r="F335" s="1" t="s">
        <v>46</v>
      </c>
      <c r="G335" s="1" t="s">
        <v>11</v>
      </c>
      <c r="H335" s="1">
        <v>1</v>
      </c>
      <c r="I335" s="1">
        <v>33000</v>
      </c>
      <c r="J335" s="1">
        <f t="shared" si="11"/>
        <v>33000</v>
      </c>
    </row>
    <row r="336" spans="1:10" x14ac:dyDescent="0.3">
      <c r="A336" s="2">
        <v>45700</v>
      </c>
      <c r="B336" s="2" t="str">
        <f t="shared" si="10"/>
        <v>February</v>
      </c>
      <c r="C336" s="1" t="s">
        <v>22</v>
      </c>
      <c r="D336" s="1" t="s">
        <v>23</v>
      </c>
      <c r="E336" s="1" t="s">
        <v>14</v>
      </c>
      <c r="F336" s="1" t="s">
        <v>47</v>
      </c>
      <c r="G336" s="1" t="s">
        <v>16</v>
      </c>
      <c r="H336" s="1">
        <v>2</v>
      </c>
      <c r="I336" s="1">
        <v>11600</v>
      </c>
      <c r="J336" s="1">
        <f t="shared" si="11"/>
        <v>23200</v>
      </c>
    </row>
    <row r="337" spans="1:10" x14ac:dyDescent="0.3">
      <c r="A337" s="2">
        <v>45701</v>
      </c>
      <c r="B337" s="2" t="str">
        <f t="shared" si="10"/>
        <v>February</v>
      </c>
      <c r="C337" s="1" t="s">
        <v>27</v>
      </c>
      <c r="D337" s="1" t="s">
        <v>28</v>
      </c>
      <c r="E337" s="1" t="s">
        <v>19</v>
      </c>
      <c r="F337" s="1" t="s">
        <v>48</v>
      </c>
      <c r="G337" s="1" t="s">
        <v>21</v>
      </c>
      <c r="H337" s="1">
        <v>1</v>
      </c>
      <c r="I337" s="1">
        <v>17900</v>
      </c>
      <c r="J337" s="1">
        <f t="shared" si="11"/>
        <v>17900</v>
      </c>
    </row>
    <row r="338" spans="1:10" x14ac:dyDescent="0.3">
      <c r="A338" s="2">
        <v>45702</v>
      </c>
      <c r="B338" s="2" t="str">
        <f t="shared" si="10"/>
        <v>February</v>
      </c>
      <c r="C338" s="1" t="s">
        <v>32</v>
      </c>
      <c r="D338" s="1" t="s">
        <v>33</v>
      </c>
      <c r="E338" s="1" t="s">
        <v>24</v>
      </c>
      <c r="F338" s="1" t="s">
        <v>55</v>
      </c>
      <c r="G338" s="1" t="s">
        <v>26</v>
      </c>
      <c r="H338" s="1">
        <v>2</v>
      </c>
      <c r="I338" s="1">
        <v>8800</v>
      </c>
      <c r="J338" s="1">
        <f t="shared" si="11"/>
        <v>17600</v>
      </c>
    </row>
    <row r="339" spans="1:10" x14ac:dyDescent="0.3">
      <c r="A339" s="2">
        <v>45703</v>
      </c>
      <c r="B339" s="2" t="str">
        <f t="shared" si="10"/>
        <v>February</v>
      </c>
      <c r="C339" s="1" t="s">
        <v>36</v>
      </c>
      <c r="D339" s="1" t="s">
        <v>37</v>
      </c>
      <c r="E339" s="1" t="s">
        <v>29</v>
      </c>
      <c r="F339" s="1" t="s">
        <v>50</v>
      </c>
      <c r="G339" s="1" t="s">
        <v>31</v>
      </c>
      <c r="H339" s="1">
        <v>1</v>
      </c>
      <c r="I339" s="1">
        <v>15100</v>
      </c>
      <c r="J339" s="1">
        <f t="shared" si="11"/>
        <v>15100</v>
      </c>
    </row>
    <row r="340" spans="1:10" x14ac:dyDescent="0.3">
      <c r="A340" s="2">
        <v>45704</v>
      </c>
      <c r="B340" s="2" t="str">
        <f t="shared" si="10"/>
        <v>February</v>
      </c>
      <c r="C340" s="1" t="s">
        <v>39</v>
      </c>
      <c r="D340" s="1" t="s">
        <v>40</v>
      </c>
      <c r="E340" s="1" t="s">
        <v>34</v>
      </c>
      <c r="F340" s="1" t="s">
        <v>51</v>
      </c>
      <c r="G340" s="1" t="s">
        <v>11</v>
      </c>
      <c r="H340" s="1">
        <v>2</v>
      </c>
      <c r="I340" s="1">
        <v>31800</v>
      </c>
      <c r="J340" s="1">
        <f t="shared" si="11"/>
        <v>63600</v>
      </c>
    </row>
    <row r="341" spans="1:10" x14ac:dyDescent="0.3">
      <c r="A341" s="2">
        <v>45705</v>
      </c>
      <c r="B341" s="2" t="str">
        <f t="shared" si="10"/>
        <v>February</v>
      </c>
      <c r="C341" s="1" t="s">
        <v>7</v>
      </c>
      <c r="D341" s="1" t="s">
        <v>8</v>
      </c>
      <c r="E341" s="1" t="s">
        <v>9</v>
      </c>
      <c r="F341" s="1" t="s">
        <v>52</v>
      </c>
      <c r="G341" s="1" t="s">
        <v>16</v>
      </c>
      <c r="H341" s="1">
        <v>1</v>
      </c>
      <c r="I341" s="1">
        <v>12000</v>
      </c>
      <c r="J341" s="1">
        <f t="shared" si="11"/>
        <v>12000</v>
      </c>
    </row>
    <row r="342" spans="1:10" x14ac:dyDescent="0.3">
      <c r="A342" s="2">
        <v>45706</v>
      </c>
      <c r="B342" s="2" t="str">
        <f t="shared" si="10"/>
        <v>February</v>
      </c>
      <c r="C342" s="1" t="s">
        <v>12</v>
      </c>
      <c r="D342" s="1" t="s">
        <v>13</v>
      </c>
      <c r="E342" s="1" t="s">
        <v>14</v>
      </c>
      <c r="F342" s="1" t="s">
        <v>53</v>
      </c>
      <c r="G342" s="1" t="s">
        <v>21</v>
      </c>
      <c r="H342" s="1">
        <v>2</v>
      </c>
      <c r="I342" s="1">
        <v>17800</v>
      </c>
      <c r="J342" s="1">
        <f t="shared" si="11"/>
        <v>35600</v>
      </c>
    </row>
    <row r="343" spans="1:10" x14ac:dyDescent="0.3">
      <c r="A343" s="2">
        <v>45707</v>
      </c>
      <c r="B343" s="2" t="str">
        <f t="shared" si="10"/>
        <v>February</v>
      </c>
      <c r="C343" s="1" t="s">
        <v>17</v>
      </c>
      <c r="D343" s="1" t="s">
        <v>18</v>
      </c>
      <c r="E343" s="1" t="s">
        <v>19</v>
      </c>
      <c r="F343" s="1" t="s">
        <v>54</v>
      </c>
      <c r="G343" s="1" t="s">
        <v>26</v>
      </c>
      <c r="H343" s="1">
        <v>3</v>
      </c>
      <c r="I343" s="1">
        <v>9100</v>
      </c>
      <c r="J343" s="1">
        <f t="shared" si="11"/>
        <v>27300</v>
      </c>
    </row>
    <row r="344" spans="1:10" x14ac:dyDescent="0.3">
      <c r="A344" s="2">
        <v>45708</v>
      </c>
      <c r="B344" s="2" t="str">
        <f t="shared" si="10"/>
        <v>February</v>
      </c>
      <c r="C344" s="1" t="s">
        <v>22</v>
      </c>
      <c r="D344" s="1" t="s">
        <v>23</v>
      </c>
      <c r="E344" s="1" t="s">
        <v>24</v>
      </c>
      <c r="F344" s="1" t="s">
        <v>61</v>
      </c>
      <c r="G344" s="1" t="s">
        <v>31</v>
      </c>
      <c r="H344" s="1">
        <v>1</v>
      </c>
      <c r="I344" s="1">
        <v>14800</v>
      </c>
      <c r="J344" s="1">
        <f t="shared" si="11"/>
        <v>14800</v>
      </c>
    </row>
    <row r="345" spans="1:10" x14ac:dyDescent="0.3">
      <c r="A345" s="2">
        <v>45709</v>
      </c>
      <c r="B345" s="2" t="str">
        <f t="shared" si="10"/>
        <v>February</v>
      </c>
      <c r="C345" s="1" t="s">
        <v>27</v>
      </c>
      <c r="D345" s="1" t="s">
        <v>28</v>
      </c>
      <c r="E345" s="1" t="s">
        <v>29</v>
      </c>
      <c r="F345" s="1" t="s">
        <v>62</v>
      </c>
      <c r="G345" s="1" t="s">
        <v>11</v>
      </c>
      <c r="H345" s="1">
        <v>1</v>
      </c>
      <c r="I345" s="1">
        <v>32700</v>
      </c>
      <c r="J345" s="1">
        <f t="shared" si="11"/>
        <v>32700</v>
      </c>
    </row>
    <row r="346" spans="1:10" x14ac:dyDescent="0.3">
      <c r="A346" s="2">
        <v>45710</v>
      </c>
      <c r="B346" s="2" t="str">
        <f t="shared" si="10"/>
        <v>February</v>
      </c>
      <c r="C346" s="1" t="s">
        <v>32</v>
      </c>
      <c r="D346" s="1" t="s">
        <v>33</v>
      </c>
      <c r="E346" s="1" t="s">
        <v>34</v>
      </c>
      <c r="F346" s="1" t="s">
        <v>63</v>
      </c>
      <c r="G346" s="1" t="s">
        <v>16</v>
      </c>
      <c r="H346" s="1">
        <v>2</v>
      </c>
      <c r="I346" s="1">
        <v>11500</v>
      </c>
      <c r="J346" s="1">
        <f t="shared" si="11"/>
        <v>23000</v>
      </c>
    </row>
    <row r="347" spans="1:10" x14ac:dyDescent="0.3">
      <c r="A347" s="2">
        <v>45711</v>
      </c>
      <c r="B347" s="2" t="str">
        <f t="shared" si="10"/>
        <v>February</v>
      </c>
      <c r="C347" s="1" t="s">
        <v>36</v>
      </c>
      <c r="D347" s="1" t="s">
        <v>37</v>
      </c>
      <c r="E347" s="1" t="s">
        <v>9</v>
      </c>
      <c r="F347" s="1" t="s">
        <v>64</v>
      </c>
      <c r="G347" s="1" t="s">
        <v>21</v>
      </c>
      <c r="H347" s="1">
        <v>1</v>
      </c>
      <c r="I347" s="1">
        <v>17600</v>
      </c>
      <c r="J347" s="1">
        <f t="shared" si="11"/>
        <v>17600</v>
      </c>
    </row>
    <row r="348" spans="1:10" x14ac:dyDescent="0.3">
      <c r="A348" s="2">
        <v>45712</v>
      </c>
      <c r="B348" s="2" t="str">
        <f t="shared" si="10"/>
        <v>February</v>
      </c>
      <c r="C348" s="1" t="s">
        <v>39</v>
      </c>
      <c r="D348" s="1" t="s">
        <v>40</v>
      </c>
      <c r="E348" s="1" t="s">
        <v>14</v>
      </c>
      <c r="F348" s="1" t="s">
        <v>65</v>
      </c>
      <c r="G348" s="1" t="s">
        <v>26</v>
      </c>
      <c r="H348" s="1">
        <v>2</v>
      </c>
      <c r="I348" s="1">
        <v>8500</v>
      </c>
      <c r="J348" s="1">
        <f t="shared" si="11"/>
        <v>17000</v>
      </c>
    </row>
    <row r="349" spans="1:10" x14ac:dyDescent="0.3">
      <c r="A349" s="2">
        <v>45713</v>
      </c>
      <c r="B349" s="2" t="str">
        <f t="shared" si="10"/>
        <v>February</v>
      </c>
      <c r="C349" s="1" t="s">
        <v>7</v>
      </c>
      <c r="D349" s="1" t="s">
        <v>8</v>
      </c>
      <c r="E349" s="1" t="s">
        <v>19</v>
      </c>
      <c r="F349" s="1" t="s">
        <v>60</v>
      </c>
      <c r="G349" s="1" t="s">
        <v>31</v>
      </c>
      <c r="H349" s="1">
        <v>3</v>
      </c>
      <c r="I349" s="1">
        <v>15000</v>
      </c>
      <c r="J349" s="1">
        <f t="shared" si="11"/>
        <v>45000</v>
      </c>
    </row>
    <row r="350" spans="1:10" x14ac:dyDescent="0.3">
      <c r="A350" s="2">
        <v>45714</v>
      </c>
      <c r="B350" s="2" t="str">
        <f t="shared" si="10"/>
        <v>February</v>
      </c>
      <c r="C350" s="1" t="s">
        <v>12</v>
      </c>
      <c r="D350" s="1" t="s">
        <v>13</v>
      </c>
      <c r="E350" s="1" t="s">
        <v>24</v>
      </c>
      <c r="F350" s="1" t="s">
        <v>43</v>
      </c>
      <c r="G350" s="1" t="s">
        <v>11</v>
      </c>
      <c r="H350" s="1">
        <v>1</v>
      </c>
      <c r="I350" s="1">
        <v>31900</v>
      </c>
      <c r="J350" s="1">
        <f t="shared" si="11"/>
        <v>31900</v>
      </c>
    </row>
    <row r="351" spans="1:10" x14ac:dyDescent="0.3">
      <c r="A351" s="2">
        <v>45715</v>
      </c>
      <c r="B351" s="2" t="str">
        <f t="shared" si="10"/>
        <v>February</v>
      </c>
      <c r="C351" s="1" t="s">
        <v>17</v>
      </c>
      <c r="D351" s="1" t="s">
        <v>18</v>
      </c>
      <c r="E351" s="1" t="s">
        <v>29</v>
      </c>
      <c r="F351" s="1" t="s">
        <v>56</v>
      </c>
      <c r="G351" s="1" t="s">
        <v>16</v>
      </c>
      <c r="H351" s="1">
        <v>1</v>
      </c>
      <c r="I351" s="1">
        <v>11800</v>
      </c>
      <c r="J351" s="1">
        <f t="shared" si="11"/>
        <v>11800</v>
      </c>
    </row>
    <row r="352" spans="1:10" x14ac:dyDescent="0.3">
      <c r="A352" s="2">
        <v>45716</v>
      </c>
      <c r="B352" s="2" t="str">
        <f t="shared" si="10"/>
        <v>February</v>
      </c>
      <c r="C352" s="1" t="s">
        <v>22</v>
      </c>
      <c r="D352" s="1" t="s">
        <v>23</v>
      </c>
      <c r="E352" s="1" t="s">
        <v>34</v>
      </c>
      <c r="F352" s="1" t="s">
        <v>57</v>
      </c>
      <c r="G352" s="1" t="s">
        <v>21</v>
      </c>
      <c r="H352" s="1">
        <v>2</v>
      </c>
      <c r="I352" s="1">
        <v>18100</v>
      </c>
      <c r="J352" s="1">
        <f t="shared" si="11"/>
        <v>36200</v>
      </c>
    </row>
    <row r="353" spans="1:10" x14ac:dyDescent="0.3">
      <c r="A353" s="2">
        <v>45717</v>
      </c>
      <c r="B353" s="2" t="str">
        <f t="shared" si="10"/>
        <v>March</v>
      </c>
      <c r="C353" s="1" t="s">
        <v>27</v>
      </c>
      <c r="D353" s="1" t="s">
        <v>28</v>
      </c>
      <c r="E353" s="1" t="s">
        <v>9</v>
      </c>
      <c r="F353" s="1" t="s">
        <v>58</v>
      </c>
      <c r="G353" s="1" t="s">
        <v>26</v>
      </c>
      <c r="H353" s="1">
        <v>1</v>
      </c>
      <c r="I353" s="1">
        <v>8600</v>
      </c>
      <c r="J353" s="1">
        <f t="shared" si="11"/>
        <v>8600</v>
      </c>
    </row>
    <row r="354" spans="1:10" x14ac:dyDescent="0.3">
      <c r="A354" s="2">
        <v>45718</v>
      </c>
      <c r="B354" s="2" t="str">
        <f t="shared" si="10"/>
        <v>March</v>
      </c>
      <c r="C354" s="1" t="s">
        <v>32</v>
      </c>
      <c r="D354" s="1" t="s">
        <v>33</v>
      </c>
      <c r="E354" s="1" t="s">
        <v>14</v>
      </c>
      <c r="F354" s="1" t="s">
        <v>59</v>
      </c>
      <c r="G354" s="1" t="s">
        <v>31</v>
      </c>
      <c r="H354" s="1">
        <v>2</v>
      </c>
      <c r="I354" s="1">
        <v>15200</v>
      </c>
      <c r="J354" s="1">
        <f t="shared" si="11"/>
        <v>30400</v>
      </c>
    </row>
    <row r="355" spans="1:10" x14ac:dyDescent="0.3">
      <c r="A355" s="2">
        <v>45719</v>
      </c>
      <c r="B355" s="2" t="str">
        <f t="shared" si="10"/>
        <v>March</v>
      </c>
      <c r="C355" s="1" t="s">
        <v>36</v>
      </c>
      <c r="D355" s="1" t="s">
        <v>37</v>
      </c>
      <c r="E355" s="1" t="s">
        <v>19</v>
      </c>
      <c r="F355" s="1" t="s">
        <v>20</v>
      </c>
      <c r="G355" s="1" t="s">
        <v>11</v>
      </c>
      <c r="H355" s="1">
        <v>1</v>
      </c>
      <c r="I355" s="1">
        <v>32500</v>
      </c>
      <c r="J355" s="1">
        <f t="shared" si="11"/>
        <v>32500</v>
      </c>
    </row>
    <row r="356" spans="1:10" x14ac:dyDescent="0.3">
      <c r="A356" s="2">
        <v>45720</v>
      </c>
      <c r="B356" s="2" t="str">
        <f t="shared" si="10"/>
        <v>March</v>
      </c>
      <c r="C356" s="1" t="s">
        <v>39</v>
      </c>
      <c r="D356" s="1" t="s">
        <v>40</v>
      </c>
      <c r="E356" s="1" t="s">
        <v>24</v>
      </c>
      <c r="F356" s="1" t="s">
        <v>25</v>
      </c>
      <c r="G356" s="1" t="s">
        <v>16</v>
      </c>
      <c r="H356" s="1">
        <v>2</v>
      </c>
      <c r="I356" s="1">
        <v>11800</v>
      </c>
      <c r="J356" s="1">
        <f t="shared" si="11"/>
        <v>23600</v>
      </c>
    </row>
    <row r="357" spans="1:10" x14ac:dyDescent="0.3">
      <c r="A357" s="2">
        <v>45721</v>
      </c>
      <c r="B357" s="2" t="str">
        <f t="shared" si="10"/>
        <v>March</v>
      </c>
      <c r="C357" s="1" t="s">
        <v>7</v>
      </c>
      <c r="D357" s="1" t="s">
        <v>8</v>
      </c>
      <c r="E357" s="1" t="s">
        <v>29</v>
      </c>
      <c r="F357" s="1" t="s">
        <v>30</v>
      </c>
      <c r="G357" s="1" t="s">
        <v>21</v>
      </c>
      <c r="H357" s="1">
        <v>1</v>
      </c>
      <c r="I357" s="1">
        <v>18200</v>
      </c>
      <c r="J357" s="1">
        <f t="shared" si="11"/>
        <v>18200</v>
      </c>
    </row>
    <row r="358" spans="1:10" x14ac:dyDescent="0.3">
      <c r="A358" s="2">
        <v>45722</v>
      </c>
      <c r="B358" s="2" t="str">
        <f t="shared" si="10"/>
        <v>March</v>
      </c>
      <c r="C358" s="1" t="s">
        <v>12</v>
      </c>
      <c r="D358" s="1" t="s">
        <v>13</v>
      </c>
      <c r="E358" s="1" t="s">
        <v>34</v>
      </c>
      <c r="F358" s="1" t="s">
        <v>35</v>
      </c>
      <c r="G358" s="1" t="s">
        <v>26</v>
      </c>
      <c r="H358" s="1">
        <v>5</v>
      </c>
      <c r="I358" s="1">
        <v>8900</v>
      </c>
      <c r="J358" s="1">
        <f t="shared" si="11"/>
        <v>44500</v>
      </c>
    </row>
    <row r="359" spans="1:10" x14ac:dyDescent="0.3">
      <c r="A359" s="2">
        <v>45723</v>
      </c>
      <c r="B359" s="2" t="str">
        <f t="shared" si="10"/>
        <v>March</v>
      </c>
      <c r="C359" s="1" t="s">
        <v>17</v>
      </c>
      <c r="D359" s="1" t="s">
        <v>18</v>
      </c>
      <c r="E359" s="1" t="s">
        <v>9</v>
      </c>
      <c r="F359" s="1" t="s">
        <v>38</v>
      </c>
      <c r="G359" s="1" t="s">
        <v>31</v>
      </c>
      <c r="H359" s="1">
        <v>1</v>
      </c>
      <c r="I359" s="1">
        <v>15000</v>
      </c>
      <c r="J359" s="1">
        <f t="shared" si="11"/>
        <v>15000</v>
      </c>
    </row>
    <row r="360" spans="1:10" x14ac:dyDescent="0.3">
      <c r="A360" s="2">
        <v>45724</v>
      </c>
      <c r="B360" s="2" t="str">
        <f t="shared" si="10"/>
        <v>March</v>
      </c>
      <c r="C360" s="1" t="s">
        <v>22</v>
      </c>
      <c r="D360" s="1" t="s">
        <v>23</v>
      </c>
      <c r="E360" s="1" t="s">
        <v>14</v>
      </c>
      <c r="F360" s="1" t="s">
        <v>41</v>
      </c>
      <c r="G360" s="1" t="s">
        <v>11</v>
      </c>
      <c r="H360" s="1">
        <v>2</v>
      </c>
      <c r="I360" s="1">
        <v>32000</v>
      </c>
      <c r="J360" s="1">
        <f t="shared" si="11"/>
        <v>64000</v>
      </c>
    </row>
    <row r="361" spans="1:10" x14ac:dyDescent="0.3">
      <c r="A361" s="2">
        <v>45725</v>
      </c>
      <c r="B361" s="2" t="str">
        <f t="shared" si="10"/>
        <v>March</v>
      </c>
      <c r="C361" s="1" t="s">
        <v>27</v>
      </c>
      <c r="D361" s="1" t="s">
        <v>28</v>
      </c>
      <c r="E361" s="1" t="s">
        <v>19</v>
      </c>
      <c r="F361" s="1" t="s">
        <v>42</v>
      </c>
      <c r="G361" s="1" t="s">
        <v>16</v>
      </c>
      <c r="H361" s="1">
        <v>1</v>
      </c>
      <c r="I361" s="1">
        <v>11700</v>
      </c>
      <c r="J361" s="1">
        <f t="shared" si="11"/>
        <v>11700</v>
      </c>
    </row>
    <row r="362" spans="1:10" x14ac:dyDescent="0.3">
      <c r="A362" s="2">
        <v>45726</v>
      </c>
      <c r="B362" s="2" t="str">
        <f t="shared" si="10"/>
        <v>March</v>
      </c>
      <c r="C362" s="1" t="s">
        <v>32</v>
      </c>
      <c r="D362" s="1" t="s">
        <v>33</v>
      </c>
      <c r="E362" s="1" t="s">
        <v>24</v>
      </c>
      <c r="F362" s="1" t="s">
        <v>49</v>
      </c>
      <c r="G362" s="1" t="s">
        <v>21</v>
      </c>
      <c r="H362" s="1">
        <v>2</v>
      </c>
      <c r="I362" s="1">
        <v>18000</v>
      </c>
      <c r="J362" s="1">
        <f t="shared" si="11"/>
        <v>36000</v>
      </c>
    </row>
    <row r="363" spans="1:10" x14ac:dyDescent="0.3">
      <c r="A363" s="2">
        <v>45727</v>
      </c>
      <c r="B363" s="2" t="str">
        <f t="shared" si="10"/>
        <v>March</v>
      </c>
      <c r="C363" s="1" t="s">
        <v>36</v>
      </c>
      <c r="D363" s="1" t="s">
        <v>37</v>
      </c>
      <c r="E363" s="1" t="s">
        <v>29</v>
      </c>
      <c r="F363" s="1" t="s">
        <v>44</v>
      </c>
      <c r="G363" s="1" t="s">
        <v>26</v>
      </c>
      <c r="H363" s="1">
        <v>5</v>
      </c>
      <c r="I363" s="1">
        <v>8700</v>
      </c>
      <c r="J363" s="1">
        <f t="shared" si="11"/>
        <v>43500</v>
      </c>
    </row>
    <row r="364" spans="1:10" x14ac:dyDescent="0.3">
      <c r="A364" s="2">
        <v>45728</v>
      </c>
      <c r="B364" s="2" t="str">
        <f t="shared" si="10"/>
        <v>March</v>
      </c>
      <c r="C364" s="1" t="s">
        <v>39</v>
      </c>
      <c r="D364" s="1" t="s">
        <v>40</v>
      </c>
      <c r="E364" s="1" t="s">
        <v>34</v>
      </c>
      <c r="F364" s="1" t="s">
        <v>45</v>
      </c>
      <c r="G364" s="1" t="s">
        <v>31</v>
      </c>
      <c r="H364" s="1">
        <v>3</v>
      </c>
      <c r="I364" s="1">
        <v>14900</v>
      </c>
      <c r="J364" s="1">
        <f t="shared" si="11"/>
        <v>44700</v>
      </c>
    </row>
    <row r="365" spans="1:10" x14ac:dyDescent="0.3">
      <c r="A365" s="2">
        <v>45729</v>
      </c>
      <c r="B365" s="2" t="str">
        <f t="shared" si="10"/>
        <v>March</v>
      </c>
      <c r="C365" s="1" t="s">
        <v>7</v>
      </c>
      <c r="D365" s="1" t="s">
        <v>8</v>
      </c>
      <c r="E365" s="1" t="s">
        <v>9</v>
      </c>
      <c r="F365" s="1" t="s">
        <v>46</v>
      </c>
      <c r="G365" s="1" t="s">
        <v>11</v>
      </c>
      <c r="H365" s="1">
        <v>1</v>
      </c>
      <c r="I365" s="1">
        <v>33000</v>
      </c>
      <c r="J365" s="1">
        <f t="shared" si="11"/>
        <v>33000</v>
      </c>
    </row>
    <row r="366" spans="1:10" x14ac:dyDescent="0.3">
      <c r="A366" s="2">
        <v>45730</v>
      </c>
      <c r="B366" s="2" t="str">
        <f t="shared" si="10"/>
        <v>March</v>
      </c>
      <c r="C366" s="1" t="s">
        <v>12</v>
      </c>
      <c r="D366" s="1" t="s">
        <v>13</v>
      </c>
      <c r="E366" s="1" t="s">
        <v>14</v>
      </c>
      <c r="F366" s="1" t="s">
        <v>47</v>
      </c>
      <c r="G366" s="1" t="s">
        <v>16</v>
      </c>
      <c r="H366" s="1">
        <v>3</v>
      </c>
      <c r="I366" s="1">
        <v>11600</v>
      </c>
      <c r="J366" s="1">
        <f t="shared" si="11"/>
        <v>34800</v>
      </c>
    </row>
    <row r="367" spans="1:10" x14ac:dyDescent="0.3">
      <c r="A367" s="2">
        <v>45731</v>
      </c>
      <c r="B367" s="2" t="str">
        <f t="shared" si="10"/>
        <v>March</v>
      </c>
      <c r="C367" s="1" t="s">
        <v>17</v>
      </c>
      <c r="D367" s="1" t="s">
        <v>18</v>
      </c>
      <c r="E367" s="1" t="s">
        <v>19</v>
      </c>
      <c r="F367" s="1" t="s">
        <v>48</v>
      </c>
      <c r="G367" s="1" t="s">
        <v>21</v>
      </c>
      <c r="H367" s="1">
        <v>1</v>
      </c>
      <c r="I367" s="1">
        <v>17900</v>
      </c>
      <c r="J367" s="1">
        <f t="shared" si="11"/>
        <v>17900</v>
      </c>
    </row>
    <row r="368" spans="1:10" x14ac:dyDescent="0.3">
      <c r="A368" s="2">
        <v>45732</v>
      </c>
      <c r="B368" s="2" t="str">
        <f t="shared" si="10"/>
        <v>March</v>
      </c>
      <c r="C368" s="1" t="s">
        <v>22</v>
      </c>
      <c r="D368" s="1" t="s">
        <v>23</v>
      </c>
      <c r="E368" s="1" t="s">
        <v>24</v>
      </c>
      <c r="F368" s="1" t="s">
        <v>55</v>
      </c>
      <c r="G368" s="1" t="s">
        <v>26</v>
      </c>
      <c r="H368" s="1">
        <v>4</v>
      </c>
      <c r="I368" s="1">
        <v>8800</v>
      </c>
      <c r="J368" s="1">
        <f t="shared" si="11"/>
        <v>35200</v>
      </c>
    </row>
    <row r="369" spans="1:10" x14ac:dyDescent="0.3">
      <c r="A369" s="2">
        <v>45733</v>
      </c>
      <c r="B369" s="2" t="str">
        <f t="shared" si="10"/>
        <v>March</v>
      </c>
      <c r="C369" s="1" t="s">
        <v>27</v>
      </c>
      <c r="D369" s="1" t="s">
        <v>28</v>
      </c>
      <c r="E369" s="1" t="s">
        <v>29</v>
      </c>
      <c r="F369" s="1" t="s">
        <v>50</v>
      </c>
      <c r="G369" s="1" t="s">
        <v>31</v>
      </c>
      <c r="H369" s="1">
        <v>1</v>
      </c>
      <c r="I369" s="1">
        <v>15100</v>
      </c>
      <c r="J369" s="1">
        <f t="shared" si="11"/>
        <v>15100</v>
      </c>
    </row>
    <row r="370" spans="1:10" x14ac:dyDescent="0.3">
      <c r="A370" s="2">
        <v>45734</v>
      </c>
      <c r="B370" s="2" t="str">
        <f t="shared" si="10"/>
        <v>March</v>
      </c>
      <c r="C370" s="1" t="s">
        <v>32</v>
      </c>
      <c r="D370" s="1" t="s">
        <v>33</v>
      </c>
      <c r="E370" s="1" t="s">
        <v>34</v>
      </c>
      <c r="F370" s="1" t="s">
        <v>51</v>
      </c>
      <c r="G370" s="1" t="s">
        <v>11</v>
      </c>
      <c r="H370" s="1">
        <v>2</v>
      </c>
      <c r="I370" s="1">
        <v>31800</v>
      </c>
      <c r="J370" s="1">
        <f t="shared" si="11"/>
        <v>63600</v>
      </c>
    </row>
    <row r="371" spans="1:10" x14ac:dyDescent="0.3">
      <c r="A371" s="2">
        <v>45735</v>
      </c>
      <c r="B371" s="2" t="str">
        <f t="shared" si="10"/>
        <v>March</v>
      </c>
      <c r="C371" s="1" t="s">
        <v>36</v>
      </c>
      <c r="D371" s="1" t="s">
        <v>37</v>
      </c>
      <c r="E371" s="1" t="s">
        <v>9</v>
      </c>
      <c r="F371" s="1" t="s">
        <v>52</v>
      </c>
      <c r="G371" s="1" t="s">
        <v>16</v>
      </c>
      <c r="H371" s="1">
        <v>1</v>
      </c>
      <c r="I371" s="1">
        <v>12000</v>
      </c>
      <c r="J371" s="1">
        <f t="shared" si="11"/>
        <v>12000</v>
      </c>
    </row>
    <row r="372" spans="1:10" x14ac:dyDescent="0.3">
      <c r="A372" s="2">
        <v>45736</v>
      </c>
      <c r="B372" s="2" t="str">
        <f t="shared" si="10"/>
        <v>March</v>
      </c>
      <c r="C372" s="1" t="s">
        <v>39</v>
      </c>
      <c r="D372" s="1" t="s">
        <v>40</v>
      </c>
      <c r="E372" s="1" t="s">
        <v>14</v>
      </c>
      <c r="F372" s="1" t="s">
        <v>53</v>
      </c>
      <c r="G372" s="1" t="s">
        <v>21</v>
      </c>
      <c r="H372" s="1">
        <v>2</v>
      </c>
      <c r="I372" s="1">
        <v>17800</v>
      </c>
      <c r="J372" s="1">
        <f t="shared" si="11"/>
        <v>35600</v>
      </c>
    </row>
    <row r="373" spans="1:10" x14ac:dyDescent="0.3">
      <c r="A373" s="2">
        <v>45737</v>
      </c>
      <c r="B373" s="2" t="str">
        <f t="shared" si="10"/>
        <v>March</v>
      </c>
      <c r="C373" s="1" t="s">
        <v>7</v>
      </c>
      <c r="D373" s="1" t="s">
        <v>8</v>
      </c>
      <c r="E373" s="1" t="s">
        <v>19</v>
      </c>
      <c r="F373" s="1" t="s">
        <v>54</v>
      </c>
      <c r="G373" s="1" t="s">
        <v>26</v>
      </c>
      <c r="H373" s="1">
        <v>3</v>
      </c>
      <c r="I373" s="1">
        <v>9100</v>
      </c>
      <c r="J373" s="1">
        <f t="shared" si="11"/>
        <v>27300</v>
      </c>
    </row>
    <row r="374" spans="1:10" x14ac:dyDescent="0.3">
      <c r="A374" s="2">
        <v>45738</v>
      </c>
      <c r="B374" s="2" t="str">
        <f t="shared" si="10"/>
        <v>March</v>
      </c>
      <c r="C374" s="1" t="s">
        <v>12</v>
      </c>
      <c r="D374" s="1" t="s">
        <v>13</v>
      </c>
      <c r="E374" s="1" t="s">
        <v>24</v>
      </c>
      <c r="F374" s="1" t="s">
        <v>61</v>
      </c>
      <c r="G374" s="1" t="s">
        <v>31</v>
      </c>
      <c r="H374" s="1">
        <v>1</v>
      </c>
      <c r="I374" s="1">
        <v>14800</v>
      </c>
      <c r="J374" s="1">
        <f t="shared" si="11"/>
        <v>14800</v>
      </c>
    </row>
    <row r="375" spans="1:10" x14ac:dyDescent="0.3">
      <c r="A375" s="2">
        <v>45739</v>
      </c>
      <c r="B375" s="2" t="str">
        <f t="shared" si="10"/>
        <v>March</v>
      </c>
      <c r="C375" s="1" t="s">
        <v>17</v>
      </c>
      <c r="D375" s="1" t="s">
        <v>18</v>
      </c>
      <c r="E375" s="1" t="s">
        <v>29</v>
      </c>
      <c r="F375" s="1" t="s">
        <v>62</v>
      </c>
      <c r="G375" s="1" t="s">
        <v>11</v>
      </c>
      <c r="H375" s="1">
        <v>1</v>
      </c>
      <c r="I375" s="1">
        <v>32700</v>
      </c>
      <c r="J375" s="1">
        <f t="shared" si="11"/>
        <v>32700</v>
      </c>
    </row>
    <row r="376" spans="1:10" x14ac:dyDescent="0.3">
      <c r="A376" s="2">
        <v>45740</v>
      </c>
      <c r="B376" s="2" t="str">
        <f t="shared" si="10"/>
        <v>March</v>
      </c>
      <c r="C376" s="1" t="s">
        <v>22</v>
      </c>
      <c r="D376" s="1" t="s">
        <v>23</v>
      </c>
      <c r="E376" s="1" t="s">
        <v>34</v>
      </c>
      <c r="F376" s="1" t="s">
        <v>63</v>
      </c>
      <c r="G376" s="1" t="s">
        <v>16</v>
      </c>
      <c r="H376" s="1">
        <v>2</v>
      </c>
      <c r="I376" s="1">
        <v>11500</v>
      </c>
      <c r="J376" s="1">
        <f t="shared" si="11"/>
        <v>23000</v>
      </c>
    </row>
    <row r="377" spans="1:10" x14ac:dyDescent="0.3">
      <c r="A377" s="2">
        <v>45741</v>
      </c>
      <c r="B377" s="2" t="str">
        <f t="shared" si="10"/>
        <v>March</v>
      </c>
      <c r="C377" s="1" t="s">
        <v>27</v>
      </c>
      <c r="D377" s="1" t="s">
        <v>28</v>
      </c>
      <c r="E377" s="1" t="s">
        <v>9</v>
      </c>
      <c r="F377" s="1" t="s">
        <v>64</v>
      </c>
      <c r="G377" s="1" t="s">
        <v>21</v>
      </c>
      <c r="H377" s="1">
        <v>1</v>
      </c>
      <c r="I377" s="1">
        <v>17600</v>
      </c>
      <c r="J377" s="1">
        <f t="shared" si="11"/>
        <v>17600</v>
      </c>
    </row>
    <row r="378" spans="1:10" x14ac:dyDescent="0.3">
      <c r="A378" s="2">
        <v>45742</v>
      </c>
      <c r="B378" s="2" t="str">
        <f t="shared" si="10"/>
        <v>March</v>
      </c>
      <c r="C378" s="1" t="s">
        <v>32</v>
      </c>
      <c r="D378" s="1" t="s">
        <v>33</v>
      </c>
      <c r="E378" s="1" t="s">
        <v>14</v>
      </c>
      <c r="F378" s="1" t="s">
        <v>65</v>
      </c>
      <c r="G378" s="1" t="s">
        <v>26</v>
      </c>
      <c r="H378" s="1">
        <v>2</v>
      </c>
      <c r="I378" s="1">
        <v>8500</v>
      </c>
      <c r="J378" s="1">
        <f t="shared" si="11"/>
        <v>17000</v>
      </c>
    </row>
    <row r="379" spans="1:10" x14ac:dyDescent="0.3">
      <c r="A379" s="2">
        <v>45743</v>
      </c>
      <c r="B379" s="2" t="str">
        <f t="shared" si="10"/>
        <v>March</v>
      </c>
      <c r="C379" s="1" t="s">
        <v>36</v>
      </c>
      <c r="D379" s="1" t="s">
        <v>37</v>
      </c>
      <c r="E379" s="1" t="s">
        <v>19</v>
      </c>
      <c r="F379" s="1" t="s">
        <v>60</v>
      </c>
      <c r="G379" s="1" t="s">
        <v>31</v>
      </c>
      <c r="H379" s="1">
        <v>3</v>
      </c>
      <c r="I379" s="1">
        <v>15000</v>
      </c>
      <c r="J379" s="1">
        <f t="shared" si="11"/>
        <v>45000</v>
      </c>
    </row>
    <row r="380" spans="1:10" x14ac:dyDescent="0.3">
      <c r="A380" s="2">
        <v>45744</v>
      </c>
      <c r="B380" s="2" t="str">
        <f t="shared" si="10"/>
        <v>March</v>
      </c>
      <c r="C380" s="1" t="s">
        <v>39</v>
      </c>
      <c r="D380" s="1" t="s">
        <v>40</v>
      </c>
      <c r="E380" s="1" t="s">
        <v>24</v>
      </c>
      <c r="F380" s="1" t="s">
        <v>43</v>
      </c>
      <c r="G380" s="1" t="s">
        <v>11</v>
      </c>
      <c r="H380" s="1">
        <v>1</v>
      </c>
      <c r="I380" s="1">
        <v>31900</v>
      </c>
      <c r="J380" s="1">
        <f t="shared" si="11"/>
        <v>31900</v>
      </c>
    </row>
    <row r="381" spans="1:10" x14ac:dyDescent="0.3">
      <c r="A381" s="2">
        <v>45745</v>
      </c>
      <c r="B381" s="2" t="str">
        <f t="shared" si="10"/>
        <v>March</v>
      </c>
      <c r="C381" s="1" t="s">
        <v>7</v>
      </c>
      <c r="D381" s="1" t="s">
        <v>8</v>
      </c>
      <c r="E381" s="1" t="s">
        <v>29</v>
      </c>
      <c r="F381" s="1" t="s">
        <v>56</v>
      </c>
      <c r="G381" s="1" t="s">
        <v>16</v>
      </c>
      <c r="H381" s="1">
        <v>6</v>
      </c>
      <c r="I381" s="1">
        <v>11800</v>
      </c>
      <c r="J381" s="1">
        <f t="shared" si="11"/>
        <v>70800</v>
      </c>
    </row>
    <row r="382" spans="1:10" x14ac:dyDescent="0.3">
      <c r="A382" s="2">
        <v>45746</v>
      </c>
      <c r="B382" s="2" t="str">
        <f t="shared" si="10"/>
        <v>March</v>
      </c>
      <c r="C382" s="1" t="s">
        <v>12</v>
      </c>
      <c r="D382" s="1" t="s">
        <v>13</v>
      </c>
      <c r="E382" s="1" t="s">
        <v>34</v>
      </c>
      <c r="F382" s="1" t="s">
        <v>57</v>
      </c>
      <c r="G382" s="1" t="s">
        <v>21</v>
      </c>
      <c r="H382" s="1">
        <v>2</v>
      </c>
      <c r="I382" s="1">
        <v>18100</v>
      </c>
      <c r="J382" s="1">
        <f t="shared" si="11"/>
        <v>36200</v>
      </c>
    </row>
    <row r="383" spans="1:10" x14ac:dyDescent="0.3">
      <c r="A383" s="2">
        <v>45747</v>
      </c>
      <c r="B383" s="2" t="str">
        <f t="shared" si="10"/>
        <v>March</v>
      </c>
      <c r="C383" s="1" t="s">
        <v>17</v>
      </c>
      <c r="D383" s="1" t="s">
        <v>18</v>
      </c>
      <c r="E383" s="1" t="s">
        <v>9</v>
      </c>
      <c r="F383" s="1" t="s">
        <v>58</v>
      </c>
      <c r="G383" s="1" t="s">
        <v>26</v>
      </c>
      <c r="H383" s="1">
        <v>6</v>
      </c>
      <c r="I383" s="1">
        <v>8600</v>
      </c>
      <c r="J383" s="1">
        <f t="shared" si="11"/>
        <v>51600</v>
      </c>
    </row>
    <row r="384" spans="1:10" x14ac:dyDescent="0.3">
      <c r="A384" s="2">
        <v>45747</v>
      </c>
      <c r="B384" s="2" t="str">
        <f t="shared" si="10"/>
        <v>March</v>
      </c>
      <c r="C384" s="1" t="s">
        <v>7</v>
      </c>
      <c r="D384" s="1" t="s">
        <v>8</v>
      </c>
      <c r="E384" s="1" t="s">
        <v>19</v>
      </c>
      <c r="F384" s="1" t="s">
        <v>54</v>
      </c>
      <c r="G384" s="1" t="s">
        <v>26</v>
      </c>
      <c r="H384" s="1">
        <v>3</v>
      </c>
      <c r="I384" s="1">
        <v>9100</v>
      </c>
      <c r="J384" s="1">
        <f t="shared" si="11"/>
        <v>27300</v>
      </c>
    </row>
    <row r="386" spans="1:12" x14ac:dyDescent="0.3">
      <c r="A386" t="s">
        <v>69</v>
      </c>
      <c r="B386" s="23" t="s">
        <v>70</v>
      </c>
      <c r="C386" s="23"/>
      <c r="D386" s="23"/>
      <c r="E386" s="23"/>
    </row>
    <row r="387" spans="1:12" x14ac:dyDescent="0.3">
      <c r="A387" t="s">
        <v>71</v>
      </c>
      <c r="B387" s="5">
        <f>COUNTA(_xlfn.UNIQUE($D$3:$D$384))</f>
        <v>8</v>
      </c>
    </row>
    <row r="389" spans="1:12" x14ac:dyDescent="0.3">
      <c r="A389" t="s">
        <v>72</v>
      </c>
      <c r="B389" s="23" t="s">
        <v>73</v>
      </c>
      <c r="C389" s="23"/>
      <c r="D389" s="23"/>
    </row>
    <row r="390" spans="1:12" x14ac:dyDescent="0.3">
      <c r="A390" t="s">
        <v>74</v>
      </c>
      <c r="B390" s="5">
        <f>SUMIFS(H3:H384,A3:A384,"&gt;=1-4-2024",A3:A384,"&lt;=1-6-2024")</f>
        <v>178</v>
      </c>
    </row>
    <row r="392" spans="1:12" x14ac:dyDescent="0.3">
      <c r="A392" t="s">
        <v>75</v>
      </c>
      <c r="B392" s="23" t="s">
        <v>76</v>
      </c>
      <c r="C392" s="23"/>
      <c r="D392" s="23"/>
      <c r="E392" s="23"/>
    </row>
    <row r="393" spans="1:12" x14ac:dyDescent="0.3">
      <c r="A393" t="s">
        <v>77</v>
      </c>
      <c r="B393" s="5" t="str">
        <f>_xlfn.XLOOKUP(MAX($H$3:$H$384),$H$3:$H$384,$G$3:$G$384,"NOT",0,1)</f>
        <v>AC</v>
      </c>
    </row>
    <row r="395" spans="1:12" x14ac:dyDescent="0.3">
      <c r="A395" t="s">
        <v>78</v>
      </c>
      <c r="B395" s="23" t="s">
        <v>79</v>
      </c>
      <c r="C395" s="23"/>
      <c r="D395" s="23"/>
    </row>
    <row r="396" spans="1:12" x14ac:dyDescent="0.3">
      <c r="A396" t="s">
        <v>80</v>
      </c>
      <c r="B396" s="5" t="str" cm="1">
        <f t="array" ref="B396:D396">TRANSPOSE(_xlfn.UNIQUE(_xlfn._xlws.FILTER($E$3:$E$384,$D$3:$D$384="Amit Sharma")))</f>
        <v>Uttar Pradesh</v>
      </c>
      <c r="C396" s="5" t="str">
        <v>Gujarat</v>
      </c>
      <c r="D396" s="5" t="str">
        <v>Maharashtra</v>
      </c>
    </row>
    <row r="399" spans="1:12" x14ac:dyDescent="0.3">
      <c r="A399" t="s">
        <v>81</v>
      </c>
      <c r="B399" s="23" t="s">
        <v>88</v>
      </c>
      <c r="C399" s="23"/>
      <c r="D399" s="23"/>
      <c r="E399" s="23"/>
      <c r="F399" s="23"/>
    </row>
    <row r="400" spans="1:12" x14ac:dyDescent="0.3">
      <c r="A400" t="s">
        <v>87</v>
      </c>
      <c r="B400" s="5" t="str">
        <f>_xlfn.XLOOKUP(MAX($G$401:$L$401),$G$401:$L$401,$G$400:$L$400,0,0,1)</f>
        <v>Uttar Pradesh</v>
      </c>
      <c r="G400" s="18" t="str" cm="1">
        <f t="array" ref="G400:L400">TRANSPOSE(_xlfn.UNIQUE($E$3:$E$384))</f>
        <v>Uttar Pradesh</v>
      </c>
      <c r="H400" s="18" t="str">
        <v>Haryana</v>
      </c>
      <c r="I400" s="18" t="str">
        <v>Gujarat</v>
      </c>
      <c r="J400" s="18" t="str">
        <v>Rajasthan</v>
      </c>
      <c r="K400" s="18" t="str">
        <v>Maharashtra</v>
      </c>
      <c r="L400" s="18" t="str">
        <v>Uttarakhand</v>
      </c>
    </row>
    <row r="401" spans="1:12" x14ac:dyDescent="0.3">
      <c r="G401">
        <f>SUMIF($E$3:$E$384,G400,$J$3:$J$384)</f>
        <v>2565400</v>
      </c>
      <c r="H401">
        <f t="shared" ref="H401:L401" si="12">SUMIF($E$3:$E$384,H400,$J$3:$J$384)</f>
        <v>1960100</v>
      </c>
      <c r="I401">
        <f t="shared" si="12"/>
        <v>1986800</v>
      </c>
      <c r="J401">
        <f t="shared" si="12"/>
        <v>2400300</v>
      </c>
      <c r="K401">
        <f t="shared" si="12"/>
        <v>2123300</v>
      </c>
      <c r="L401">
        <f t="shared" si="12"/>
        <v>2077200</v>
      </c>
    </row>
    <row r="402" spans="1:12" x14ac:dyDescent="0.3">
      <c r="A402" t="s">
        <v>82</v>
      </c>
      <c r="B402" s="23" t="s">
        <v>83</v>
      </c>
      <c r="C402" s="23"/>
      <c r="D402" s="23"/>
      <c r="E402" s="23"/>
      <c r="F402" s="23"/>
    </row>
    <row r="403" spans="1:12" x14ac:dyDescent="0.3">
      <c r="A403" t="s">
        <v>89</v>
      </c>
      <c r="B403" s="5" t="str">
        <f>_xlfn.XLOOKUP(MAX($J$3:$J$384),$J$3:$J$384,$F$3:$F$384)</f>
        <v>Dehradun</v>
      </c>
      <c r="C403" s="5">
        <f>SUMIF($F$3:$F$384,$B$403,$J$3:$J$384)</f>
        <v>825500</v>
      </c>
    </row>
    <row r="405" spans="1:12" x14ac:dyDescent="0.3">
      <c r="A405" t="s">
        <v>84</v>
      </c>
      <c r="B405" s="23" t="s">
        <v>85</v>
      </c>
      <c r="C405" s="23"/>
      <c r="D405" s="23"/>
    </row>
    <row r="406" spans="1:12" x14ac:dyDescent="0.3">
      <c r="A406" t="s">
        <v>90</v>
      </c>
      <c r="B406" s="5" t="str">
        <f>_xlfn.XLOOKUP(_xlfn.MAXIFS($H$3:$H$384,$G$3:$G$384,"AC"),$H$3:$H$384,$F$3:$F$384)</f>
        <v>Dehradun</v>
      </c>
    </row>
    <row r="408" spans="1:12" x14ac:dyDescent="0.3">
      <c r="A408" t="s">
        <v>86</v>
      </c>
      <c r="B408" s="23" t="s">
        <v>92</v>
      </c>
      <c r="C408" s="23"/>
      <c r="D408" s="23"/>
      <c r="E408" s="23"/>
      <c r="F408" s="23"/>
      <c r="G408" s="23"/>
      <c r="H408" s="23"/>
      <c r="I408" s="4"/>
    </row>
    <row r="409" spans="1:12" x14ac:dyDescent="0.3">
      <c r="A409" t="s">
        <v>134</v>
      </c>
      <c r="B409" s="7" t="s">
        <v>2</v>
      </c>
      <c r="C409" s="7" t="s">
        <v>93</v>
      </c>
    </row>
    <row r="410" spans="1:12" x14ac:dyDescent="0.3">
      <c r="B410" s="6" t="str" cm="1">
        <f t="array" ref="B410:B413">_xlfn.UNIQUE(_xlfn._xlws.FILTER($D$3:$D$384,$F$3:$F$384="Dehradun"))</f>
        <v>Anjali Chauhan</v>
      </c>
      <c r="C410" s="6">
        <f>SUMIFS($J$3:$J$384,$D$3:$D$384,$B410,$F$3:$F$384,"Dehradun")</f>
        <v>62900</v>
      </c>
    </row>
    <row r="411" spans="1:12" x14ac:dyDescent="0.3">
      <c r="B411" s="6" t="str">
        <v>Pooja Singh</v>
      </c>
      <c r="C411" s="6">
        <f>SUMIFS($J$3:$J$384,$D$3:$D$384,$B411,$F$3:$F$384,"Dehradun")</f>
        <v>563800</v>
      </c>
    </row>
    <row r="412" spans="1:12" x14ac:dyDescent="0.3">
      <c r="B412" s="6" t="str">
        <v>Neha Verma</v>
      </c>
      <c r="C412" s="6">
        <f>SUMIFS($J$3:$J$384,$D$3:$D$384,$B412,$F$3:$F$384,"Dehradun")</f>
        <v>166900</v>
      </c>
    </row>
    <row r="413" spans="1:12" x14ac:dyDescent="0.3">
      <c r="B413" s="6" t="str">
        <v>Meena Rathi</v>
      </c>
      <c r="C413" s="6">
        <f>SUMIFS($J$3:$J$384,$D$3:$D$384,$B413,$F$3:$F$384,"Dehradun")</f>
        <v>31900</v>
      </c>
    </row>
    <row r="415" spans="1:12" x14ac:dyDescent="0.3">
      <c r="A415" t="s">
        <v>91</v>
      </c>
      <c r="B415" s="23" t="s">
        <v>150</v>
      </c>
      <c r="C415" s="23"/>
      <c r="D415" s="23"/>
      <c r="E415" s="23"/>
    </row>
    <row r="416" spans="1:12" x14ac:dyDescent="0.3">
      <c r="A416" t="s">
        <v>94</v>
      </c>
      <c r="B416" s="11" t="s">
        <v>109</v>
      </c>
      <c r="C416" s="11" t="s">
        <v>93</v>
      </c>
      <c r="D416" s="12" t="s">
        <v>151</v>
      </c>
    </row>
    <row r="417" spans="1:11" x14ac:dyDescent="0.3">
      <c r="B417" s="10" t="s">
        <v>8</v>
      </c>
      <c r="C417" s="1">
        <v>1629800</v>
      </c>
      <c r="D417" s="1">
        <f>_xlfn.RANK.AVG($C417,$C$417:$C$424,0)</f>
        <v>5</v>
      </c>
    </row>
    <row r="418" spans="1:11" x14ac:dyDescent="0.3">
      <c r="B418" s="10" t="s">
        <v>33</v>
      </c>
      <c r="C418" s="1">
        <v>1602400</v>
      </c>
      <c r="D418" s="1">
        <f t="shared" ref="D418:D424" si="13">_xlfn.RANK.AVG($C418,$C$417:$C$424,0)</f>
        <v>6</v>
      </c>
    </row>
    <row r="419" spans="1:11" x14ac:dyDescent="0.3">
      <c r="B419" s="10" t="s">
        <v>40</v>
      </c>
      <c r="C419" s="1">
        <v>1518800</v>
      </c>
      <c r="D419" s="1">
        <f t="shared" si="13"/>
        <v>7</v>
      </c>
    </row>
    <row r="420" spans="1:11" x14ac:dyDescent="0.3">
      <c r="B420" s="10" t="s">
        <v>13</v>
      </c>
      <c r="C420" s="1">
        <v>1650100</v>
      </c>
      <c r="D420" s="1">
        <f t="shared" si="13"/>
        <v>4</v>
      </c>
    </row>
    <row r="421" spans="1:11" x14ac:dyDescent="0.3">
      <c r="B421" s="10" t="s">
        <v>23</v>
      </c>
      <c r="C421" s="1">
        <v>1734400</v>
      </c>
      <c r="D421" s="1">
        <f t="shared" si="13"/>
        <v>2</v>
      </c>
    </row>
    <row r="422" spans="1:11" x14ac:dyDescent="0.3">
      <c r="B422" s="10" t="s">
        <v>18</v>
      </c>
      <c r="C422" s="1">
        <v>1780100</v>
      </c>
      <c r="D422" s="1">
        <f t="shared" si="13"/>
        <v>1</v>
      </c>
    </row>
    <row r="423" spans="1:11" x14ac:dyDescent="0.3">
      <c r="B423" s="10" t="s">
        <v>28</v>
      </c>
      <c r="C423" s="1">
        <v>1709200</v>
      </c>
      <c r="D423" s="1">
        <f t="shared" si="13"/>
        <v>3</v>
      </c>
    </row>
    <row r="424" spans="1:11" x14ac:dyDescent="0.3">
      <c r="B424" s="10" t="s">
        <v>37</v>
      </c>
      <c r="C424" s="1">
        <v>1488300</v>
      </c>
      <c r="D424" s="1">
        <f t="shared" si="13"/>
        <v>8</v>
      </c>
    </row>
    <row r="426" spans="1:11" x14ac:dyDescent="0.3">
      <c r="A426" t="s">
        <v>111</v>
      </c>
      <c r="B426" s="23" t="s">
        <v>110</v>
      </c>
      <c r="C426" s="23"/>
      <c r="D426" s="23"/>
      <c r="E426" s="23"/>
    </row>
    <row r="427" spans="1:11" x14ac:dyDescent="0.3">
      <c r="A427" t="s">
        <v>112</v>
      </c>
      <c r="B427" s="8" t="s">
        <v>114</v>
      </c>
      <c r="C427" s="8" t="s">
        <v>113</v>
      </c>
    </row>
    <row r="428" spans="1:11" x14ac:dyDescent="0.3">
      <c r="B428" s="8" t="s">
        <v>115</v>
      </c>
      <c r="C428" t="s">
        <v>8</v>
      </c>
      <c r="D428" t="s">
        <v>33</v>
      </c>
      <c r="E428" t="s">
        <v>40</v>
      </c>
      <c r="F428" t="s">
        <v>13</v>
      </c>
      <c r="G428" t="s">
        <v>23</v>
      </c>
      <c r="H428" t="s">
        <v>18</v>
      </c>
      <c r="I428" t="s">
        <v>28</v>
      </c>
      <c r="J428" t="s">
        <v>37</v>
      </c>
      <c r="K428" t="s">
        <v>95</v>
      </c>
    </row>
    <row r="429" spans="1:11" x14ac:dyDescent="0.3">
      <c r="B429" s="9" t="s">
        <v>96</v>
      </c>
      <c r="C429">
        <v>144900</v>
      </c>
      <c r="D429">
        <v>167900</v>
      </c>
      <c r="E429">
        <v>135800</v>
      </c>
      <c r="F429">
        <v>137100</v>
      </c>
      <c r="G429">
        <v>158000</v>
      </c>
      <c r="H429">
        <v>74200</v>
      </c>
      <c r="I429">
        <v>76900</v>
      </c>
      <c r="J429">
        <v>74400</v>
      </c>
      <c r="K429">
        <v>969200</v>
      </c>
    </row>
    <row r="430" spans="1:11" x14ac:dyDescent="0.3">
      <c r="B430" s="9" t="s">
        <v>97</v>
      </c>
      <c r="C430">
        <v>98200</v>
      </c>
      <c r="D430">
        <v>104600</v>
      </c>
      <c r="E430">
        <v>152600</v>
      </c>
      <c r="F430">
        <v>135800</v>
      </c>
      <c r="G430">
        <v>100900</v>
      </c>
      <c r="H430">
        <v>102000</v>
      </c>
      <c r="I430">
        <v>65600</v>
      </c>
      <c r="J430">
        <v>44400</v>
      </c>
      <c r="K430">
        <v>804100</v>
      </c>
    </row>
    <row r="431" spans="1:11" x14ac:dyDescent="0.3">
      <c r="B431" s="9" t="s">
        <v>98</v>
      </c>
      <c r="C431">
        <v>176600</v>
      </c>
      <c r="D431">
        <v>147000</v>
      </c>
      <c r="E431">
        <v>135800</v>
      </c>
      <c r="F431">
        <v>130300</v>
      </c>
      <c r="G431">
        <v>122200</v>
      </c>
      <c r="H431">
        <v>117200</v>
      </c>
      <c r="I431">
        <v>53000</v>
      </c>
      <c r="J431">
        <v>133000</v>
      </c>
      <c r="K431">
        <v>1015100</v>
      </c>
    </row>
    <row r="432" spans="1:11" x14ac:dyDescent="0.3">
      <c r="B432" s="9" t="s">
        <v>99</v>
      </c>
      <c r="C432">
        <v>259700</v>
      </c>
      <c r="D432">
        <v>152600</v>
      </c>
      <c r="E432">
        <v>89100</v>
      </c>
      <c r="F432">
        <v>149000</v>
      </c>
      <c r="G432">
        <v>80600</v>
      </c>
      <c r="H432">
        <v>245500</v>
      </c>
      <c r="I432">
        <v>282200</v>
      </c>
      <c r="J432">
        <v>122000</v>
      </c>
      <c r="K432">
        <v>1380700</v>
      </c>
    </row>
    <row r="433" spans="1:15" x14ac:dyDescent="0.3">
      <c r="B433" s="9" t="s">
        <v>100</v>
      </c>
      <c r="C433">
        <v>117400</v>
      </c>
      <c r="D433">
        <v>178600</v>
      </c>
      <c r="E433">
        <v>216500</v>
      </c>
      <c r="F433">
        <v>368000</v>
      </c>
      <c r="G433">
        <v>276300</v>
      </c>
      <c r="H433">
        <v>349600</v>
      </c>
      <c r="I433">
        <v>267900</v>
      </c>
      <c r="J433">
        <v>123900</v>
      </c>
      <c r="K433">
        <v>1898200</v>
      </c>
    </row>
    <row r="434" spans="1:15" x14ac:dyDescent="0.3">
      <c r="B434" s="9" t="s">
        <v>101</v>
      </c>
      <c r="C434">
        <v>127200</v>
      </c>
      <c r="D434">
        <v>205700</v>
      </c>
      <c r="E434">
        <v>201600</v>
      </c>
      <c r="F434">
        <v>53800</v>
      </c>
      <c r="G434">
        <v>354800</v>
      </c>
      <c r="H434">
        <v>144500</v>
      </c>
      <c r="I434">
        <v>133600</v>
      </c>
      <c r="J434">
        <v>317100</v>
      </c>
      <c r="K434">
        <v>1538300</v>
      </c>
    </row>
    <row r="435" spans="1:15" x14ac:dyDescent="0.3">
      <c r="B435" s="9" t="s">
        <v>102</v>
      </c>
      <c r="C435">
        <v>129400</v>
      </c>
      <c r="D435">
        <v>106500</v>
      </c>
      <c r="E435">
        <v>53800</v>
      </c>
      <c r="F435">
        <v>131500</v>
      </c>
      <c r="G435">
        <v>121600</v>
      </c>
      <c r="H435">
        <v>133600</v>
      </c>
      <c r="I435">
        <v>252700</v>
      </c>
      <c r="J435">
        <v>112500</v>
      </c>
      <c r="K435">
        <v>1041600</v>
      </c>
    </row>
    <row r="436" spans="1:15" x14ac:dyDescent="0.3">
      <c r="B436" s="9" t="s">
        <v>103</v>
      </c>
      <c r="C436">
        <v>113600</v>
      </c>
      <c r="D436">
        <v>120600</v>
      </c>
      <c r="E436">
        <v>91200</v>
      </c>
      <c r="F436">
        <v>118900</v>
      </c>
      <c r="G436">
        <v>96700</v>
      </c>
      <c r="H436">
        <v>183100</v>
      </c>
      <c r="I436">
        <v>110500</v>
      </c>
      <c r="J436">
        <v>92100</v>
      </c>
      <c r="K436">
        <v>926700</v>
      </c>
    </row>
    <row r="437" spans="1:15" x14ac:dyDescent="0.3">
      <c r="B437" s="9" t="s">
        <v>104</v>
      </c>
      <c r="C437">
        <v>165100</v>
      </c>
      <c r="D437">
        <v>91100</v>
      </c>
      <c r="E437">
        <v>118900</v>
      </c>
      <c r="F437">
        <v>109900</v>
      </c>
      <c r="G437">
        <v>88900</v>
      </c>
      <c r="H437">
        <v>110500</v>
      </c>
      <c r="I437">
        <v>89000</v>
      </c>
      <c r="J437">
        <v>113600</v>
      </c>
      <c r="K437">
        <v>887000</v>
      </c>
    </row>
    <row r="438" spans="1:15" x14ac:dyDescent="0.3">
      <c r="B438" s="9" t="s">
        <v>105</v>
      </c>
      <c r="C438">
        <v>110500</v>
      </c>
      <c r="D438">
        <v>127600</v>
      </c>
      <c r="E438">
        <v>65200</v>
      </c>
      <c r="F438">
        <v>88900</v>
      </c>
      <c r="G438">
        <v>91200</v>
      </c>
      <c r="H438">
        <v>80600</v>
      </c>
      <c r="I438">
        <v>113600</v>
      </c>
      <c r="J438">
        <v>147000</v>
      </c>
      <c r="K438">
        <v>824600</v>
      </c>
    </row>
    <row r="439" spans="1:15" x14ac:dyDescent="0.3">
      <c r="B439" s="9" t="s">
        <v>106</v>
      </c>
      <c r="C439">
        <v>89000</v>
      </c>
      <c r="D439">
        <v>65200</v>
      </c>
      <c r="E439">
        <v>116200</v>
      </c>
      <c r="F439">
        <v>91100</v>
      </c>
      <c r="G439">
        <v>142300</v>
      </c>
      <c r="H439">
        <v>113600</v>
      </c>
      <c r="I439">
        <v>147000</v>
      </c>
      <c r="J439">
        <v>131400</v>
      </c>
      <c r="K439">
        <v>895800</v>
      </c>
    </row>
    <row r="440" spans="1:15" x14ac:dyDescent="0.3">
      <c r="B440" s="9" t="s">
        <v>107</v>
      </c>
      <c r="C440">
        <v>98200</v>
      </c>
      <c r="D440">
        <v>135000</v>
      </c>
      <c r="E440">
        <v>142100</v>
      </c>
      <c r="F440">
        <v>135800</v>
      </c>
      <c r="G440">
        <v>100900</v>
      </c>
      <c r="H440">
        <v>125700</v>
      </c>
      <c r="I440">
        <v>117200</v>
      </c>
      <c r="J440">
        <v>76900</v>
      </c>
      <c r="K440">
        <v>931800</v>
      </c>
    </row>
    <row r="441" spans="1:15" x14ac:dyDescent="0.3">
      <c r="B441" s="9" t="s">
        <v>95</v>
      </c>
      <c r="C441">
        <v>1629800</v>
      </c>
      <c r="D441">
        <v>1602400</v>
      </c>
      <c r="E441">
        <v>1518800</v>
      </c>
      <c r="F441">
        <v>1650100</v>
      </c>
      <c r="G441">
        <v>1734400</v>
      </c>
      <c r="H441">
        <v>1780100</v>
      </c>
      <c r="I441">
        <v>1709200</v>
      </c>
      <c r="J441">
        <v>1488300</v>
      </c>
      <c r="K441">
        <v>13113100</v>
      </c>
    </row>
    <row r="443" spans="1:15" x14ac:dyDescent="0.3">
      <c r="A443" t="s">
        <v>116</v>
      </c>
      <c r="B443" s="23" t="s">
        <v>117</v>
      </c>
      <c r="C443" s="23"/>
      <c r="D443" s="23"/>
    </row>
    <row r="444" spans="1:15" x14ac:dyDescent="0.3">
      <c r="A444" t="s">
        <v>118</v>
      </c>
      <c r="B444" s="6" t="str">
        <f>_xlfn.XLOOKUP(MAX($K$429:$K$440),$K$429:$K$440,$B$429:$B$440,"Not Found",0,1)</f>
        <v>May</v>
      </c>
    </row>
    <row r="446" spans="1:15" x14ac:dyDescent="0.3">
      <c r="A446" t="s">
        <v>119</v>
      </c>
      <c r="B446" s="23" t="s">
        <v>121</v>
      </c>
      <c r="C446" s="23"/>
      <c r="D446" s="23"/>
      <c r="E446" s="23"/>
      <c r="F446" s="23"/>
    </row>
    <row r="447" spans="1:15" x14ac:dyDescent="0.3">
      <c r="A447" t="s">
        <v>123</v>
      </c>
      <c r="B447" s="12" t="s">
        <v>108</v>
      </c>
      <c r="C447" s="12" t="str" cm="1">
        <f t="array" ref="C447:N447">TRANSPOSE(_xlfn.UNIQUE($B$3:$B$384))</f>
        <v>April</v>
      </c>
      <c r="D447" s="12" t="str">
        <v>May</v>
      </c>
      <c r="E447" s="12" t="str">
        <v>June</v>
      </c>
      <c r="F447" s="12" t="str">
        <v>July</v>
      </c>
      <c r="G447" s="12" t="str">
        <v>August</v>
      </c>
      <c r="H447" s="12" t="str">
        <v>September</v>
      </c>
      <c r="I447" s="12" t="str">
        <v>October</v>
      </c>
      <c r="J447" s="12" t="str">
        <v>November</v>
      </c>
      <c r="K447" s="12" t="str">
        <v>December</v>
      </c>
      <c r="L447" s="12" t="str">
        <v>January</v>
      </c>
      <c r="M447" s="12" t="str">
        <v>February</v>
      </c>
      <c r="N447" s="12" t="str">
        <v>March</v>
      </c>
      <c r="O447" s="12" t="s">
        <v>122</v>
      </c>
    </row>
    <row r="448" spans="1:15" x14ac:dyDescent="0.3">
      <c r="B448" s="13" t="str" cm="1">
        <f t="array" ref="B448:B455">_xlfn.UNIQUE($D$3:$D$384)</f>
        <v>Amit Sharma</v>
      </c>
      <c r="C448" s="15">
        <f>SUMIFS($J$3:$J$384,$D$3:$D$384,$B448,$B$3:$B$384,C$447)</f>
        <v>259700</v>
      </c>
      <c r="D448" s="15">
        <f t="shared" ref="D448:N455" si="14">SUMIFS($J$3:$J$384,$D$3:$D$384,$B448,$B$3:$B$384,D$447)</f>
        <v>117400</v>
      </c>
      <c r="E448" s="15">
        <f t="shared" si="14"/>
        <v>127200</v>
      </c>
      <c r="F448" s="15">
        <f t="shared" si="14"/>
        <v>129400</v>
      </c>
      <c r="G448" s="15">
        <f t="shared" si="14"/>
        <v>113600</v>
      </c>
      <c r="H448" s="15">
        <f t="shared" si="14"/>
        <v>165100</v>
      </c>
      <c r="I448" s="15">
        <f t="shared" si="14"/>
        <v>110500</v>
      </c>
      <c r="J448" s="15">
        <f t="shared" si="14"/>
        <v>89000</v>
      </c>
      <c r="K448" s="15">
        <f t="shared" si="14"/>
        <v>98200</v>
      </c>
      <c r="L448" s="15">
        <f t="shared" si="14"/>
        <v>144900</v>
      </c>
      <c r="M448" s="15">
        <f t="shared" si="14"/>
        <v>98200</v>
      </c>
      <c r="N448" s="15">
        <f t="shared" si="14"/>
        <v>176600</v>
      </c>
      <c r="O448" s="15">
        <f>COUNTIF($C$456:$N$456,B448)</f>
        <v>2</v>
      </c>
    </row>
    <row r="449" spans="1:15" x14ac:dyDescent="0.3">
      <c r="B449" s="13" t="str">
        <v>Neha Verma</v>
      </c>
      <c r="C449" s="15">
        <f t="shared" ref="C449:C455" si="15">SUMIFS($J$3:$J$384,$D$3:$D$384,$B449,$B$3:$B$384,C$447)</f>
        <v>149000</v>
      </c>
      <c r="D449" s="15">
        <f t="shared" si="14"/>
        <v>368000</v>
      </c>
      <c r="E449" s="15">
        <f t="shared" si="14"/>
        <v>53800</v>
      </c>
      <c r="F449" s="15">
        <f t="shared" si="14"/>
        <v>131500</v>
      </c>
      <c r="G449" s="15">
        <f t="shared" si="14"/>
        <v>118900</v>
      </c>
      <c r="H449" s="15">
        <f t="shared" si="14"/>
        <v>109900</v>
      </c>
      <c r="I449" s="15">
        <f t="shared" si="14"/>
        <v>88900</v>
      </c>
      <c r="J449" s="15">
        <f t="shared" si="14"/>
        <v>91100</v>
      </c>
      <c r="K449" s="15">
        <f t="shared" si="14"/>
        <v>135800</v>
      </c>
      <c r="L449" s="15">
        <f t="shared" si="14"/>
        <v>137100</v>
      </c>
      <c r="M449" s="15">
        <f t="shared" si="14"/>
        <v>135800</v>
      </c>
      <c r="N449" s="15">
        <f t="shared" si="14"/>
        <v>130300</v>
      </c>
      <c r="O449" s="15">
        <f t="shared" ref="O449:O455" si="16">COUNTIF($C$456:$N$456,B449)</f>
        <v>1</v>
      </c>
    </row>
    <row r="450" spans="1:15" x14ac:dyDescent="0.3">
      <c r="B450" s="13" t="str">
        <v>Rajesh Patel</v>
      </c>
      <c r="C450" s="15">
        <f t="shared" si="15"/>
        <v>245500</v>
      </c>
      <c r="D450" s="15">
        <f t="shared" si="14"/>
        <v>349600</v>
      </c>
      <c r="E450" s="15">
        <f t="shared" si="14"/>
        <v>144500</v>
      </c>
      <c r="F450" s="15">
        <f t="shared" si="14"/>
        <v>133600</v>
      </c>
      <c r="G450" s="15">
        <f t="shared" si="14"/>
        <v>183100</v>
      </c>
      <c r="H450" s="15">
        <f t="shared" si="14"/>
        <v>110500</v>
      </c>
      <c r="I450" s="15">
        <f t="shared" si="14"/>
        <v>80600</v>
      </c>
      <c r="J450" s="15">
        <f t="shared" si="14"/>
        <v>113600</v>
      </c>
      <c r="K450" s="15">
        <f t="shared" si="14"/>
        <v>125700</v>
      </c>
      <c r="L450" s="15">
        <f t="shared" si="14"/>
        <v>74200</v>
      </c>
      <c r="M450" s="15">
        <f t="shared" si="14"/>
        <v>102000</v>
      </c>
      <c r="N450" s="15">
        <f t="shared" si="14"/>
        <v>117200</v>
      </c>
      <c r="O450" s="15">
        <f t="shared" si="16"/>
        <v>1</v>
      </c>
    </row>
    <row r="451" spans="1:15" x14ac:dyDescent="0.3">
      <c r="B451" s="13" t="str">
        <v>Pooja Singh</v>
      </c>
      <c r="C451" s="15">
        <f t="shared" si="15"/>
        <v>80600</v>
      </c>
      <c r="D451" s="15">
        <f t="shared" si="14"/>
        <v>276300</v>
      </c>
      <c r="E451" s="15">
        <f t="shared" si="14"/>
        <v>354800</v>
      </c>
      <c r="F451" s="15">
        <f t="shared" si="14"/>
        <v>121600</v>
      </c>
      <c r="G451" s="15">
        <f t="shared" si="14"/>
        <v>96700</v>
      </c>
      <c r="H451" s="15">
        <f t="shared" si="14"/>
        <v>88900</v>
      </c>
      <c r="I451" s="15">
        <f t="shared" si="14"/>
        <v>91200</v>
      </c>
      <c r="J451" s="15">
        <f t="shared" si="14"/>
        <v>142300</v>
      </c>
      <c r="K451" s="15">
        <f t="shared" si="14"/>
        <v>100900</v>
      </c>
      <c r="L451" s="15">
        <f t="shared" si="14"/>
        <v>158000</v>
      </c>
      <c r="M451" s="15">
        <f t="shared" si="14"/>
        <v>100900</v>
      </c>
      <c r="N451" s="15">
        <f t="shared" si="14"/>
        <v>122200</v>
      </c>
      <c r="O451" s="15">
        <f t="shared" si="16"/>
        <v>1</v>
      </c>
    </row>
    <row r="452" spans="1:15" x14ac:dyDescent="0.3">
      <c r="B452" s="13" t="str">
        <v>Sachin Mehra</v>
      </c>
      <c r="C452" s="15">
        <f t="shared" si="15"/>
        <v>282200</v>
      </c>
      <c r="D452" s="15">
        <f t="shared" si="14"/>
        <v>267900</v>
      </c>
      <c r="E452" s="15">
        <f t="shared" si="14"/>
        <v>133600</v>
      </c>
      <c r="F452" s="15">
        <f t="shared" si="14"/>
        <v>252700</v>
      </c>
      <c r="G452" s="15">
        <f t="shared" si="14"/>
        <v>110500</v>
      </c>
      <c r="H452" s="15">
        <f t="shared" si="14"/>
        <v>89000</v>
      </c>
      <c r="I452" s="15">
        <f t="shared" si="14"/>
        <v>113600</v>
      </c>
      <c r="J452" s="15">
        <f t="shared" si="14"/>
        <v>147000</v>
      </c>
      <c r="K452" s="15">
        <f t="shared" si="14"/>
        <v>117200</v>
      </c>
      <c r="L452" s="15">
        <f t="shared" si="14"/>
        <v>76900</v>
      </c>
      <c r="M452" s="15">
        <f t="shared" si="14"/>
        <v>65600</v>
      </c>
      <c r="N452" s="15">
        <f t="shared" si="14"/>
        <v>53000</v>
      </c>
      <c r="O452" s="15">
        <f t="shared" si="16"/>
        <v>3</v>
      </c>
    </row>
    <row r="453" spans="1:15" x14ac:dyDescent="0.3">
      <c r="B453" s="13" t="str">
        <v>Anjali Chauhan</v>
      </c>
      <c r="C453" s="15">
        <f t="shared" si="15"/>
        <v>152600</v>
      </c>
      <c r="D453" s="15">
        <f t="shared" si="14"/>
        <v>178600</v>
      </c>
      <c r="E453" s="15">
        <f t="shared" si="14"/>
        <v>205700</v>
      </c>
      <c r="F453" s="15">
        <f t="shared" si="14"/>
        <v>106500</v>
      </c>
      <c r="G453" s="15">
        <f t="shared" si="14"/>
        <v>120600</v>
      </c>
      <c r="H453" s="15">
        <f t="shared" si="14"/>
        <v>91100</v>
      </c>
      <c r="I453" s="15">
        <f t="shared" si="14"/>
        <v>127600</v>
      </c>
      <c r="J453" s="15">
        <f t="shared" si="14"/>
        <v>65200</v>
      </c>
      <c r="K453" s="15">
        <f t="shared" si="14"/>
        <v>135000</v>
      </c>
      <c r="L453" s="15">
        <f t="shared" si="14"/>
        <v>167900</v>
      </c>
      <c r="M453" s="15">
        <f t="shared" si="14"/>
        <v>104600</v>
      </c>
      <c r="N453" s="15">
        <f t="shared" si="14"/>
        <v>147000</v>
      </c>
      <c r="O453" s="15">
        <f t="shared" si="16"/>
        <v>1</v>
      </c>
    </row>
    <row r="454" spans="1:15" x14ac:dyDescent="0.3">
      <c r="B454" s="13" t="str">
        <v>Vikram Joshi</v>
      </c>
      <c r="C454" s="15">
        <f t="shared" si="15"/>
        <v>122000</v>
      </c>
      <c r="D454" s="15">
        <f t="shared" si="14"/>
        <v>123900</v>
      </c>
      <c r="E454" s="15">
        <f t="shared" si="14"/>
        <v>317100</v>
      </c>
      <c r="F454" s="15">
        <f t="shared" si="14"/>
        <v>112500</v>
      </c>
      <c r="G454" s="15">
        <f t="shared" si="14"/>
        <v>92100</v>
      </c>
      <c r="H454" s="15">
        <f t="shared" si="14"/>
        <v>113600</v>
      </c>
      <c r="I454" s="15">
        <f t="shared" si="14"/>
        <v>147000</v>
      </c>
      <c r="J454" s="15">
        <f t="shared" si="14"/>
        <v>131400</v>
      </c>
      <c r="K454" s="15">
        <f t="shared" si="14"/>
        <v>76900</v>
      </c>
      <c r="L454" s="15">
        <f t="shared" si="14"/>
        <v>74400</v>
      </c>
      <c r="M454" s="15">
        <f t="shared" si="14"/>
        <v>44400</v>
      </c>
      <c r="N454" s="15">
        <f t="shared" si="14"/>
        <v>133000</v>
      </c>
      <c r="O454" s="15">
        <f t="shared" si="16"/>
        <v>1</v>
      </c>
    </row>
    <row r="455" spans="1:15" x14ac:dyDescent="0.3">
      <c r="B455" s="13" t="str">
        <v>Meena Rathi</v>
      </c>
      <c r="C455" s="15">
        <f t="shared" si="15"/>
        <v>89100</v>
      </c>
      <c r="D455" s="15">
        <f t="shared" si="14"/>
        <v>216500</v>
      </c>
      <c r="E455" s="15">
        <f t="shared" si="14"/>
        <v>201600</v>
      </c>
      <c r="F455" s="15">
        <f t="shared" si="14"/>
        <v>53800</v>
      </c>
      <c r="G455" s="15">
        <f t="shared" si="14"/>
        <v>91200</v>
      </c>
      <c r="H455" s="15">
        <f t="shared" si="14"/>
        <v>118900</v>
      </c>
      <c r="I455" s="15">
        <f t="shared" si="14"/>
        <v>65200</v>
      </c>
      <c r="J455" s="15">
        <f t="shared" si="14"/>
        <v>116200</v>
      </c>
      <c r="K455" s="15">
        <f t="shared" si="14"/>
        <v>142100</v>
      </c>
      <c r="L455" s="15">
        <f t="shared" si="14"/>
        <v>135800</v>
      </c>
      <c r="M455" s="15">
        <f t="shared" si="14"/>
        <v>152600</v>
      </c>
      <c r="N455" s="15">
        <f t="shared" si="14"/>
        <v>135800</v>
      </c>
      <c r="O455" s="15">
        <f t="shared" si="16"/>
        <v>2</v>
      </c>
    </row>
    <row r="456" spans="1:15" x14ac:dyDescent="0.3">
      <c r="B456" s="13" t="s">
        <v>120</v>
      </c>
      <c r="C456" s="15" t="str">
        <f>_xlfn.XLOOKUP(MAX(C448:C455),C448:C455,$B$448:$B$455)</f>
        <v>Sachin Mehra</v>
      </c>
      <c r="D456" s="15" t="str">
        <f t="shared" ref="D456:N456" si="17">_xlfn.XLOOKUP(MAX(D448:D455),D448:D455,$B$448:$B$455)</f>
        <v>Neha Verma</v>
      </c>
      <c r="E456" s="15" t="str">
        <f t="shared" si="17"/>
        <v>Pooja Singh</v>
      </c>
      <c r="F456" s="15" t="str">
        <f t="shared" si="17"/>
        <v>Sachin Mehra</v>
      </c>
      <c r="G456" s="15" t="str">
        <f t="shared" si="17"/>
        <v>Rajesh Patel</v>
      </c>
      <c r="H456" s="15" t="str">
        <f t="shared" si="17"/>
        <v>Amit Sharma</v>
      </c>
      <c r="I456" s="15" t="str">
        <f t="shared" si="17"/>
        <v>Vikram Joshi</v>
      </c>
      <c r="J456" s="15" t="str">
        <f t="shared" si="17"/>
        <v>Sachin Mehra</v>
      </c>
      <c r="K456" s="15" t="str">
        <f t="shared" si="17"/>
        <v>Meena Rathi</v>
      </c>
      <c r="L456" s="15" t="str">
        <f t="shared" si="17"/>
        <v>Anjali Chauhan</v>
      </c>
      <c r="M456" s="15" t="str">
        <f t="shared" si="17"/>
        <v>Meena Rathi</v>
      </c>
      <c r="N456" s="15" t="str">
        <f t="shared" si="17"/>
        <v>Amit Sharma</v>
      </c>
      <c r="O456" s="1"/>
    </row>
    <row r="457" spans="1:15" x14ac:dyDescent="0.3"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 spans="1:15" x14ac:dyDescent="0.3">
      <c r="A458" t="s">
        <v>125</v>
      </c>
      <c r="B458" s="26" t="s">
        <v>124</v>
      </c>
      <c r="C458" s="26"/>
      <c r="D458" s="26"/>
      <c r="E458" s="26"/>
      <c r="F458" s="14"/>
      <c r="G458" s="14"/>
      <c r="H458" s="14"/>
      <c r="I458" s="14"/>
      <c r="J458" s="14"/>
      <c r="K458" s="14"/>
    </row>
    <row r="459" spans="1:15" x14ac:dyDescent="0.3">
      <c r="A459" t="s">
        <v>126</v>
      </c>
      <c r="B459" s="16" t="s">
        <v>108</v>
      </c>
      <c r="C459" s="16" t="str" cm="1">
        <f t="array" ref="C459:H459">TRANSPOSE(_xlfn.UNIQUE($E$3:$E$384))</f>
        <v>Uttar Pradesh</v>
      </c>
      <c r="D459" s="16" t="str">
        <v>Haryana</v>
      </c>
      <c r="E459" s="16" t="str">
        <v>Gujarat</v>
      </c>
      <c r="F459" s="16" t="str">
        <v>Rajasthan</v>
      </c>
      <c r="G459" s="16" t="str">
        <v>Maharashtra</v>
      </c>
      <c r="H459" s="16" t="str">
        <v>Uttarakhand</v>
      </c>
      <c r="I459" s="16" t="s">
        <v>127</v>
      </c>
      <c r="J459" s="14"/>
      <c r="K459" s="14"/>
    </row>
    <row r="460" spans="1:15" x14ac:dyDescent="0.3">
      <c r="B460" s="17" t="str" cm="1">
        <f t="array" ref="B460:B467">_xlfn.UNIQUE($D$3:$D$384)</f>
        <v>Amit Sharma</v>
      </c>
      <c r="C460" s="1">
        <f>COUNTIFS($D$3:$D$384,$B460,$E$3:$E$384,C$459)</f>
        <v>15</v>
      </c>
      <c r="D460" s="1">
        <f t="shared" ref="D460:H467" si="18">COUNTIFS($D$3:$D$384,$B460,$E$3:$E$384,D$459)</f>
        <v>0</v>
      </c>
      <c r="E460" s="1">
        <f t="shared" si="18"/>
        <v>18</v>
      </c>
      <c r="F460" s="1">
        <f t="shared" si="18"/>
        <v>0</v>
      </c>
      <c r="G460" s="1">
        <f t="shared" si="18"/>
        <v>16</v>
      </c>
      <c r="H460" s="1">
        <f t="shared" si="18"/>
        <v>0</v>
      </c>
      <c r="I460" s="1" t="str">
        <f>IF(AND(C460&gt;0,D460&gt;0,E460&gt;0,F460&gt;0,G460&gt;0,H460&gt;0),B460,"Not Any")</f>
        <v>Not Any</v>
      </c>
    </row>
    <row r="461" spans="1:15" x14ac:dyDescent="0.3">
      <c r="B461" s="17" t="str">
        <v>Neha Verma</v>
      </c>
      <c r="C461" s="1">
        <f t="shared" ref="C461:C467" si="19">COUNTIFS($D$3:$D$384,$B461,$E$3:$E$384,C$459)</f>
        <v>1</v>
      </c>
      <c r="D461" s="1">
        <f t="shared" si="18"/>
        <v>15</v>
      </c>
      <c r="E461" s="1">
        <f t="shared" si="18"/>
        <v>0</v>
      </c>
      <c r="F461" s="1">
        <f t="shared" si="18"/>
        <v>17</v>
      </c>
      <c r="G461" s="1">
        <f t="shared" si="18"/>
        <v>0</v>
      </c>
      <c r="H461" s="1">
        <f t="shared" si="18"/>
        <v>15</v>
      </c>
      <c r="I461" s="1" t="str">
        <f t="shared" ref="I461:I467" si="20">IF(AND(C461&gt;0,D461&gt;0,E461&gt;0,F461&gt;0,G461&gt;0,H461&gt;0),B461,"Not Any")</f>
        <v>Not Any</v>
      </c>
    </row>
    <row r="462" spans="1:15" x14ac:dyDescent="0.3">
      <c r="B462" s="17" t="str">
        <v>Rajesh Patel</v>
      </c>
      <c r="C462" s="1">
        <f t="shared" si="19"/>
        <v>15</v>
      </c>
      <c r="D462" s="1">
        <f t="shared" si="18"/>
        <v>0</v>
      </c>
      <c r="E462" s="1">
        <f t="shared" si="18"/>
        <v>17</v>
      </c>
      <c r="F462" s="1">
        <f t="shared" si="18"/>
        <v>0</v>
      </c>
      <c r="G462" s="1">
        <f t="shared" si="18"/>
        <v>17</v>
      </c>
      <c r="H462" s="1">
        <f t="shared" si="18"/>
        <v>0</v>
      </c>
      <c r="I462" s="1" t="str">
        <f t="shared" si="20"/>
        <v>Not Any</v>
      </c>
    </row>
    <row r="463" spans="1:15" x14ac:dyDescent="0.3">
      <c r="B463" s="17" t="str">
        <v>Pooja Singh</v>
      </c>
      <c r="C463" s="1">
        <f t="shared" si="19"/>
        <v>1</v>
      </c>
      <c r="D463" s="1">
        <f t="shared" si="18"/>
        <v>14</v>
      </c>
      <c r="E463" s="1">
        <f t="shared" si="18"/>
        <v>0</v>
      </c>
      <c r="F463" s="1">
        <f t="shared" si="18"/>
        <v>18</v>
      </c>
      <c r="G463" s="1">
        <f t="shared" si="18"/>
        <v>0</v>
      </c>
      <c r="H463" s="1">
        <f t="shared" si="18"/>
        <v>17</v>
      </c>
      <c r="I463" s="1" t="str">
        <f t="shared" si="20"/>
        <v>Not Any</v>
      </c>
    </row>
    <row r="464" spans="1:15" x14ac:dyDescent="0.3">
      <c r="B464" s="17" t="str">
        <v>Sachin Mehra</v>
      </c>
      <c r="C464" s="1">
        <f t="shared" si="19"/>
        <v>17</v>
      </c>
      <c r="D464" s="1">
        <f t="shared" si="18"/>
        <v>0</v>
      </c>
      <c r="E464" s="1">
        <f t="shared" si="18"/>
        <v>14</v>
      </c>
      <c r="F464" s="1">
        <f t="shared" si="18"/>
        <v>0</v>
      </c>
      <c r="G464" s="1">
        <f t="shared" si="18"/>
        <v>16</v>
      </c>
      <c r="H464" s="1">
        <f t="shared" si="18"/>
        <v>0</v>
      </c>
      <c r="I464" s="1" t="str">
        <f t="shared" si="20"/>
        <v>Not Any</v>
      </c>
    </row>
    <row r="465" spans="1:9" x14ac:dyDescent="0.3">
      <c r="B465" s="17" t="str">
        <v>Anjali Chauhan</v>
      </c>
      <c r="C465" s="1">
        <f t="shared" si="19"/>
        <v>0</v>
      </c>
      <c r="D465" s="1">
        <f t="shared" si="18"/>
        <v>19</v>
      </c>
      <c r="E465" s="1">
        <f t="shared" si="18"/>
        <v>0</v>
      </c>
      <c r="F465" s="1">
        <f t="shared" si="18"/>
        <v>14</v>
      </c>
      <c r="G465" s="1">
        <f t="shared" si="18"/>
        <v>0</v>
      </c>
      <c r="H465" s="1">
        <f t="shared" si="18"/>
        <v>15</v>
      </c>
      <c r="I465" s="1" t="str">
        <f t="shared" si="20"/>
        <v>Not Any</v>
      </c>
    </row>
    <row r="466" spans="1:9" x14ac:dyDescent="0.3">
      <c r="B466" s="17" t="str">
        <v>Vikram Joshi</v>
      </c>
      <c r="C466" s="1">
        <f t="shared" si="19"/>
        <v>15</v>
      </c>
      <c r="D466" s="1">
        <f t="shared" si="18"/>
        <v>0</v>
      </c>
      <c r="E466" s="1">
        <f t="shared" si="18"/>
        <v>17</v>
      </c>
      <c r="F466" s="1">
        <f t="shared" si="18"/>
        <v>0</v>
      </c>
      <c r="G466" s="1">
        <f t="shared" si="18"/>
        <v>14</v>
      </c>
      <c r="H466" s="1">
        <f t="shared" si="18"/>
        <v>0</v>
      </c>
      <c r="I466" s="1" t="str">
        <f t="shared" si="20"/>
        <v>Not Any</v>
      </c>
    </row>
    <row r="467" spans="1:9" x14ac:dyDescent="0.3">
      <c r="B467" s="17" t="str">
        <v>Meena Rathi</v>
      </c>
      <c r="C467" s="1">
        <f t="shared" si="19"/>
        <v>0</v>
      </c>
      <c r="D467" s="1">
        <f t="shared" si="18"/>
        <v>15</v>
      </c>
      <c r="E467" s="1">
        <f t="shared" si="18"/>
        <v>0</v>
      </c>
      <c r="F467" s="1">
        <f t="shared" si="18"/>
        <v>17</v>
      </c>
      <c r="G467" s="1">
        <f t="shared" si="18"/>
        <v>0</v>
      </c>
      <c r="H467" s="1">
        <f t="shared" si="18"/>
        <v>13</v>
      </c>
      <c r="I467" s="1" t="str">
        <f t="shared" si="20"/>
        <v>Not Any</v>
      </c>
    </row>
    <row r="469" spans="1:9" x14ac:dyDescent="0.3">
      <c r="A469" t="s">
        <v>128</v>
      </c>
      <c r="B469" s="23" t="s">
        <v>129</v>
      </c>
      <c r="C469" s="23"/>
      <c r="D469" s="23"/>
    </row>
    <row r="470" spans="1:9" x14ac:dyDescent="0.3">
      <c r="A470" t="s">
        <v>130</v>
      </c>
      <c r="B470" s="6" t="str" cm="1">
        <f t="array" ref="B470:B475">_xlfn.UNIQUE($E$3:$E$384)</f>
        <v>Uttar Pradesh</v>
      </c>
      <c r="C470" s="6" t="str" cm="1">
        <f t="array" ref="C470:H470">TRANSPOSE(_xlfn.UNIQUE(_xlfn._xlws.FILTER($F$3:$F$384,$E$3:$E$384=$B470)))</f>
        <v>Lucknow</v>
      </c>
      <c r="D470" s="6" t="str">
        <v>Kanpur</v>
      </c>
      <c r="E470" s="6" t="str">
        <v>Agra</v>
      </c>
      <c r="F470" s="6" t="str">
        <v>Varanasi</v>
      </c>
      <c r="G470" s="6" t="str">
        <v>Noida</v>
      </c>
      <c r="H470" s="6" t="str">
        <v>Aligarh</v>
      </c>
    </row>
    <row r="471" spans="1:9" x14ac:dyDescent="0.3">
      <c r="B471" s="6" t="str">
        <v>Haryana</v>
      </c>
      <c r="C471" s="6" t="str" cm="1">
        <f t="array" ref="C471:H471">TRANSPOSE(_xlfn.UNIQUE(_xlfn._xlws.FILTER($F$3:$F$384,$E$3:$E$384=$B471)))</f>
        <v>Gurgaon</v>
      </c>
      <c r="D471" s="6" t="str">
        <v>Faridabad</v>
      </c>
      <c r="E471" s="6" t="str">
        <v>Panipat</v>
      </c>
      <c r="F471" s="6" t="str">
        <v>Hisar</v>
      </c>
      <c r="G471" s="6" t="str">
        <v>Ambala</v>
      </c>
      <c r="H471" s="6" t="str">
        <v>Karnal</v>
      </c>
    </row>
    <row r="472" spans="1:9" x14ac:dyDescent="0.3">
      <c r="B472" s="6" t="str">
        <v>Gujarat</v>
      </c>
      <c r="C472" s="6" t="str" cm="1">
        <f t="array" ref="C472:G472">TRANSPOSE(_xlfn.UNIQUE(_xlfn._xlws.FILTER($F$3:$F$384,$E$3:$E$384=$B472)))</f>
        <v>Ahmedabad</v>
      </c>
      <c r="D472" s="6" t="str">
        <v>Surat</v>
      </c>
      <c r="E472" s="6" t="str">
        <v>Rajkot</v>
      </c>
      <c r="F472" s="6" t="str">
        <v>Vadodara</v>
      </c>
      <c r="G472" s="6" t="str">
        <v>Bhavnagar</v>
      </c>
      <c r="H472" s="6"/>
    </row>
    <row r="473" spans="1:9" x14ac:dyDescent="0.3">
      <c r="B473" s="6" t="str">
        <v>Rajasthan</v>
      </c>
      <c r="C473" s="6" t="str" cm="1">
        <f t="array" ref="C473:G473">TRANSPOSE(_xlfn.UNIQUE(_xlfn._xlws.FILTER($F$3:$F$384,$E$3:$E$384=$B473)))</f>
        <v>Jaipur</v>
      </c>
      <c r="D473" s="6" t="str">
        <v>Kota</v>
      </c>
      <c r="E473" s="6" t="str">
        <v>Udaipur</v>
      </c>
      <c r="F473" s="6" t="str">
        <v>Bikaner</v>
      </c>
      <c r="G473" s="6" t="str">
        <v>Ajmer</v>
      </c>
      <c r="H473" s="6"/>
    </row>
    <row r="474" spans="1:9" x14ac:dyDescent="0.3">
      <c r="B474" s="6" t="str">
        <v>Maharashtra</v>
      </c>
      <c r="C474" s="6" t="str" cm="1">
        <f t="array" ref="C474:G474">TRANSPOSE(_xlfn.UNIQUE(_xlfn._xlws.FILTER($F$3:$F$384,$E$3:$E$384=$B474)))</f>
        <v>Mumbai</v>
      </c>
      <c r="D474" s="6" t="str">
        <v>Pune</v>
      </c>
      <c r="E474" s="6" t="str">
        <v>Nagpur</v>
      </c>
      <c r="F474" s="6" t="str">
        <v>Thane</v>
      </c>
      <c r="G474" s="6" t="str">
        <v>Nashik</v>
      </c>
      <c r="H474" s="6"/>
    </row>
    <row r="475" spans="1:9" x14ac:dyDescent="0.3">
      <c r="B475" s="6" t="str">
        <v>Uttarakhand</v>
      </c>
      <c r="C475" s="6" t="str" cm="1">
        <f t="array" ref="C475:G475">TRANSPOSE(_xlfn.UNIQUE(_xlfn._xlws.FILTER($F$3:$F$384,$E$3:$E$384=$B475)))</f>
        <v>Dehradun</v>
      </c>
      <c r="D475" s="6" t="str">
        <v>Haridwar</v>
      </c>
      <c r="E475" s="6" t="str">
        <v>Nainital</v>
      </c>
      <c r="F475" s="6" t="str">
        <v>Rudrapur</v>
      </c>
      <c r="G475" s="6" t="str">
        <v>Pauri</v>
      </c>
      <c r="H475" s="6"/>
    </row>
    <row r="477" spans="1:9" x14ac:dyDescent="0.3">
      <c r="A477" t="s">
        <v>132</v>
      </c>
      <c r="B477" s="23" t="s">
        <v>131</v>
      </c>
      <c r="C477" s="23"/>
      <c r="D477" s="23"/>
    </row>
    <row r="478" spans="1:9" x14ac:dyDescent="0.3">
      <c r="A478" t="s">
        <v>133</v>
      </c>
    </row>
    <row r="494" spans="1:5" x14ac:dyDescent="0.3">
      <c r="A494" t="s">
        <v>136</v>
      </c>
      <c r="B494" s="23" t="s">
        <v>135</v>
      </c>
      <c r="C494" s="23"/>
      <c r="D494" s="23"/>
      <c r="E494" s="23"/>
    </row>
    <row r="495" spans="1:5" x14ac:dyDescent="0.3">
      <c r="A495" t="s">
        <v>137</v>
      </c>
    </row>
    <row r="511" spans="1:4" x14ac:dyDescent="0.3">
      <c r="A511" t="s">
        <v>138</v>
      </c>
      <c r="B511" s="23" t="s">
        <v>139</v>
      </c>
      <c r="C511" s="23"/>
      <c r="D511" s="23"/>
    </row>
    <row r="512" spans="1:4" x14ac:dyDescent="0.3">
      <c r="A512" t="s">
        <v>140</v>
      </c>
      <c r="B512" s="6" t="str" cm="1">
        <f t="array" ref="B512">_xlfn.XLOOKUP(MAX(COUNTIF($D$3:$D$384,$D$3:$D$384)),COUNTIF($D$3:$D$384,$D$3:$D$384),$D$3:$D$384)</f>
        <v>Pooja Singh</v>
      </c>
    </row>
    <row r="514" spans="1:11" x14ac:dyDescent="0.3">
      <c r="A514" t="s">
        <v>142</v>
      </c>
      <c r="B514" s="24" t="s">
        <v>141</v>
      </c>
      <c r="C514" s="24"/>
      <c r="D514" s="24"/>
      <c r="E514" s="24"/>
    </row>
    <row r="515" spans="1:11" x14ac:dyDescent="0.3">
      <c r="A515" t="s">
        <v>143</v>
      </c>
      <c r="B515" s="19" cm="1">
        <f t="array" ref="B515:K529">_xlfn._xlws.FILTER($A$3:$J$384,($D$3:$D$384="Pooja Singh")*(($E$3:$E$384="Uttar Pradesh")+($E$3:$E$384="Haryana")))</f>
        <v>45402</v>
      </c>
      <c r="C515" s="5" t="str">
        <v>April</v>
      </c>
      <c r="D515" s="5" t="str">
        <v>EMP004</v>
      </c>
      <c r="E515" s="5" t="str">
        <v>Pooja Singh</v>
      </c>
      <c r="F515" s="5" t="str">
        <v>Haryana</v>
      </c>
      <c r="G515" s="5" t="str">
        <v>Hisar</v>
      </c>
      <c r="H515" s="5" t="str">
        <v>Water Cooler</v>
      </c>
      <c r="I515" s="5">
        <v>1</v>
      </c>
      <c r="J515" s="5">
        <v>14800</v>
      </c>
      <c r="K515" s="5">
        <v>14800</v>
      </c>
    </row>
    <row r="516" spans="1:11" x14ac:dyDescent="0.3">
      <c r="B516" s="19">
        <v>45426</v>
      </c>
      <c r="C516" s="5" t="str">
        <v>May</v>
      </c>
      <c r="D516" s="5" t="str">
        <v>EMP004</v>
      </c>
      <c r="E516" s="5" t="str">
        <v>Pooja Singh</v>
      </c>
      <c r="F516" s="5" t="str">
        <v>Haryana</v>
      </c>
      <c r="G516" s="5" t="str">
        <v>Panipat</v>
      </c>
      <c r="H516" s="5" t="str">
        <v>LED</v>
      </c>
      <c r="I516" s="5">
        <v>1</v>
      </c>
      <c r="J516" s="5">
        <v>8700</v>
      </c>
      <c r="K516" s="5">
        <v>8700</v>
      </c>
    </row>
    <row r="517" spans="1:11" x14ac:dyDescent="0.3">
      <c r="B517" s="19">
        <v>45461</v>
      </c>
      <c r="C517" s="5" t="str">
        <v>June</v>
      </c>
      <c r="D517" s="5" t="str">
        <v>EMP004</v>
      </c>
      <c r="E517" s="5" t="str">
        <v>Pooja Singh</v>
      </c>
      <c r="F517" s="5" t="str">
        <v>Haryana</v>
      </c>
      <c r="G517" s="5" t="str">
        <v>Panipat</v>
      </c>
      <c r="H517" s="5" t="str">
        <v>LED</v>
      </c>
      <c r="I517" s="5">
        <v>1</v>
      </c>
      <c r="J517" s="5">
        <v>8700</v>
      </c>
      <c r="K517" s="5">
        <v>8700</v>
      </c>
    </row>
    <row r="518" spans="1:11" x14ac:dyDescent="0.3">
      <c r="B518" s="19">
        <v>45485</v>
      </c>
      <c r="C518" s="5" t="str">
        <v>July</v>
      </c>
      <c r="D518" s="5" t="str">
        <v>EMP004</v>
      </c>
      <c r="E518" s="5" t="str">
        <v>Pooja Singh</v>
      </c>
      <c r="F518" s="5" t="str">
        <v>Haryana</v>
      </c>
      <c r="G518" s="5" t="str">
        <v>Faridabad</v>
      </c>
      <c r="H518" s="5" t="str">
        <v>Refrigerator</v>
      </c>
      <c r="I518" s="5">
        <v>1</v>
      </c>
      <c r="J518" s="5">
        <v>17600</v>
      </c>
      <c r="K518" s="5">
        <v>17600</v>
      </c>
    </row>
    <row r="519" spans="1:11" x14ac:dyDescent="0.3">
      <c r="B519" s="19">
        <v>45521</v>
      </c>
      <c r="C519" s="5" t="str">
        <v>August</v>
      </c>
      <c r="D519" s="5" t="str">
        <v>EMP004</v>
      </c>
      <c r="E519" s="5" t="str">
        <v>Pooja Singh</v>
      </c>
      <c r="F519" s="5" t="str">
        <v>Haryana</v>
      </c>
      <c r="G519" s="5" t="str">
        <v>Karnal</v>
      </c>
      <c r="H519" s="5" t="str">
        <v>RO</v>
      </c>
      <c r="I519" s="5">
        <v>1</v>
      </c>
      <c r="J519" s="5">
        <v>12000</v>
      </c>
      <c r="K519" s="5">
        <v>12000</v>
      </c>
    </row>
    <row r="520" spans="1:11" x14ac:dyDescent="0.3">
      <c r="B520" s="19">
        <v>45545</v>
      </c>
      <c r="C520" s="5" t="str">
        <v>September</v>
      </c>
      <c r="D520" s="5" t="str">
        <v>EMP004</v>
      </c>
      <c r="E520" s="5" t="str">
        <v>Pooja Singh</v>
      </c>
      <c r="F520" s="5" t="str">
        <v>Haryana</v>
      </c>
      <c r="G520" s="5" t="str">
        <v>Ambala</v>
      </c>
      <c r="H520" s="5" t="str">
        <v>AC</v>
      </c>
      <c r="I520" s="5">
        <v>1</v>
      </c>
      <c r="J520" s="5">
        <v>31700</v>
      </c>
      <c r="K520" s="5">
        <v>31700</v>
      </c>
    </row>
    <row r="521" spans="1:11" x14ac:dyDescent="0.3">
      <c r="B521" s="19">
        <v>45569</v>
      </c>
      <c r="C521" s="5" t="str">
        <v>October</v>
      </c>
      <c r="D521" s="5" t="str">
        <v>EMP004</v>
      </c>
      <c r="E521" s="5" t="str">
        <v>Pooja Singh</v>
      </c>
      <c r="F521" s="5" t="str">
        <v>Haryana</v>
      </c>
      <c r="G521" s="5" t="str">
        <v>Hisar</v>
      </c>
      <c r="H521" s="5" t="str">
        <v>Water Cooler</v>
      </c>
      <c r="I521" s="5">
        <v>1</v>
      </c>
      <c r="J521" s="5">
        <v>14800</v>
      </c>
      <c r="K521" s="5">
        <v>14800</v>
      </c>
    </row>
    <row r="522" spans="1:11" x14ac:dyDescent="0.3">
      <c r="B522" s="19">
        <v>45593</v>
      </c>
      <c r="C522" s="5" t="str">
        <v>October</v>
      </c>
      <c r="D522" s="5" t="str">
        <v>EMP004</v>
      </c>
      <c r="E522" s="5" t="str">
        <v>Pooja Singh</v>
      </c>
      <c r="F522" s="5" t="str">
        <v>Haryana</v>
      </c>
      <c r="G522" s="5" t="str">
        <v>Panipat</v>
      </c>
      <c r="H522" s="5" t="str">
        <v>LED</v>
      </c>
      <c r="I522" s="5">
        <v>1</v>
      </c>
      <c r="J522" s="5">
        <v>8700</v>
      </c>
      <c r="K522" s="5">
        <v>8700</v>
      </c>
    </row>
    <row r="523" spans="1:11" x14ac:dyDescent="0.3">
      <c r="B523" s="19">
        <v>45617</v>
      </c>
      <c r="C523" s="5" t="str">
        <v>November</v>
      </c>
      <c r="D523" s="5" t="str">
        <v>EMP004</v>
      </c>
      <c r="E523" s="5" t="str">
        <v>Pooja Singh</v>
      </c>
      <c r="F523" s="5" t="str">
        <v>Haryana</v>
      </c>
      <c r="G523" s="5" t="str">
        <v>Faridabad</v>
      </c>
      <c r="H523" s="5" t="str">
        <v>Refrigerator</v>
      </c>
      <c r="I523" s="5">
        <v>1</v>
      </c>
      <c r="J523" s="5">
        <v>17600</v>
      </c>
      <c r="K523" s="5">
        <v>17600</v>
      </c>
    </row>
    <row r="524" spans="1:11" x14ac:dyDescent="0.3">
      <c r="B524" s="19">
        <v>45625</v>
      </c>
      <c r="C524" s="5" t="str">
        <v>November</v>
      </c>
      <c r="D524" s="5" t="str">
        <v>EMP004</v>
      </c>
      <c r="E524" s="5" t="str">
        <v>Pooja Singh</v>
      </c>
      <c r="F524" s="5" t="str">
        <v>Uttar Pradesh</v>
      </c>
      <c r="G524" s="5" t="str">
        <v>Kanpur</v>
      </c>
      <c r="H524" s="5" t="str">
        <v>RO</v>
      </c>
      <c r="I524" s="5">
        <v>2</v>
      </c>
      <c r="J524" s="5">
        <v>11700</v>
      </c>
      <c r="K524" s="5">
        <v>23400</v>
      </c>
    </row>
    <row r="525" spans="1:11" x14ac:dyDescent="0.3">
      <c r="B525" s="19">
        <v>45638</v>
      </c>
      <c r="C525" s="5" t="str">
        <v>December</v>
      </c>
      <c r="D525" s="5" t="str">
        <v>EMP004</v>
      </c>
      <c r="E525" s="5" t="str">
        <v>Pooja Singh</v>
      </c>
      <c r="F525" s="5" t="str">
        <v>Haryana</v>
      </c>
      <c r="G525" s="5" t="str">
        <v>Panipat</v>
      </c>
      <c r="H525" s="5" t="str">
        <v>RO</v>
      </c>
      <c r="I525" s="5">
        <v>2</v>
      </c>
      <c r="J525" s="5">
        <v>11600</v>
      </c>
      <c r="K525" s="5">
        <v>23200</v>
      </c>
    </row>
    <row r="526" spans="1:11" x14ac:dyDescent="0.3">
      <c r="B526" s="19">
        <v>45662</v>
      </c>
      <c r="C526" s="5" t="str">
        <v>January</v>
      </c>
      <c r="D526" s="5" t="str">
        <v>EMP004</v>
      </c>
      <c r="E526" s="5" t="str">
        <v>Pooja Singh</v>
      </c>
      <c r="F526" s="5" t="str">
        <v>Haryana</v>
      </c>
      <c r="G526" s="5" t="str">
        <v>Faridabad</v>
      </c>
      <c r="H526" s="5" t="str">
        <v>AC</v>
      </c>
      <c r="I526" s="5">
        <v>2</v>
      </c>
      <c r="J526" s="5">
        <v>32000</v>
      </c>
      <c r="K526" s="5">
        <v>64000</v>
      </c>
    </row>
    <row r="527" spans="1:11" x14ac:dyDescent="0.3">
      <c r="B527" s="19">
        <v>45686</v>
      </c>
      <c r="C527" s="5" t="str">
        <v>January</v>
      </c>
      <c r="D527" s="5" t="str">
        <v>EMP004</v>
      </c>
      <c r="E527" s="5" t="str">
        <v>Pooja Singh</v>
      </c>
      <c r="F527" s="5" t="str">
        <v>Haryana</v>
      </c>
      <c r="G527" s="5" t="str">
        <v>Ambala</v>
      </c>
      <c r="H527" s="5" t="str">
        <v>Water Cooler</v>
      </c>
      <c r="I527" s="5">
        <v>2</v>
      </c>
      <c r="J527" s="5">
        <v>15200</v>
      </c>
      <c r="K527" s="5">
        <v>30400</v>
      </c>
    </row>
    <row r="528" spans="1:11" x14ac:dyDescent="0.3">
      <c r="B528" s="19">
        <v>45700</v>
      </c>
      <c r="C528" s="5" t="str">
        <v>February</v>
      </c>
      <c r="D528" s="5" t="str">
        <v>EMP004</v>
      </c>
      <c r="E528" s="5" t="str">
        <v>Pooja Singh</v>
      </c>
      <c r="F528" s="5" t="str">
        <v>Haryana</v>
      </c>
      <c r="G528" s="5" t="str">
        <v>Panipat</v>
      </c>
      <c r="H528" s="5" t="str">
        <v>RO</v>
      </c>
      <c r="I528" s="5">
        <v>2</v>
      </c>
      <c r="J528" s="5">
        <v>11600</v>
      </c>
      <c r="K528" s="5">
        <v>23200</v>
      </c>
    </row>
    <row r="529" spans="2:11" x14ac:dyDescent="0.3">
      <c r="B529" s="19">
        <v>45724</v>
      </c>
      <c r="C529" s="5" t="str">
        <v>March</v>
      </c>
      <c r="D529" s="5" t="str">
        <v>EMP004</v>
      </c>
      <c r="E529" s="5" t="str">
        <v>Pooja Singh</v>
      </c>
      <c r="F529" s="5" t="str">
        <v>Haryana</v>
      </c>
      <c r="G529" s="5" t="str">
        <v>Faridabad</v>
      </c>
      <c r="H529" s="5" t="str">
        <v>AC</v>
      </c>
      <c r="I529" s="5">
        <v>2</v>
      </c>
      <c r="J529" s="5">
        <v>32000</v>
      </c>
      <c r="K529" s="5">
        <v>64000</v>
      </c>
    </row>
    <row r="531" spans="2:11" x14ac:dyDescent="0.3">
      <c r="B531" s="23" t="s">
        <v>148</v>
      </c>
      <c r="C531" s="23"/>
      <c r="D531" s="23"/>
    </row>
    <row r="532" spans="2:11" x14ac:dyDescent="0.3">
      <c r="B532" s="20" t="s">
        <v>115</v>
      </c>
      <c r="C532" s="21" t="s">
        <v>147</v>
      </c>
    </row>
    <row r="533" spans="2:11" x14ac:dyDescent="0.3">
      <c r="B533" s="20" t="s">
        <v>1</v>
      </c>
      <c r="C533" s="22" t="str" cm="1">
        <f t="array" ref="C533:C540">TRANSPOSE(_xlfn.XLOOKUP($C$532,$B$2:$B$384,CHOOSE({1,2,3,4,5,6,7,8},$C$2:$C$384,$D$2:$D$384,$F$2:$F$384,$E$2:$E$384,$G$2:$G$384,$I$2:$I$384,$H$2:$H$384,$J$2:$J$384),0,0,1))</f>
        <v>EMP001</v>
      </c>
    </row>
    <row r="534" spans="2:11" x14ac:dyDescent="0.3">
      <c r="B534" s="20" t="s">
        <v>2</v>
      </c>
      <c r="C534" s="22" t="str">
        <v>Amit Sharma</v>
      </c>
    </row>
    <row r="535" spans="2:11" x14ac:dyDescent="0.3">
      <c r="B535" s="20" t="s">
        <v>4</v>
      </c>
      <c r="C535" s="22" t="str">
        <v>Lucknow</v>
      </c>
    </row>
    <row r="536" spans="2:11" x14ac:dyDescent="0.3">
      <c r="B536" s="20" t="s">
        <v>3</v>
      </c>
      <c r="C536" s="22" t="str">
        <v>Uttar Pradesh</v>
      </c>
    </row>
    <row r="537" spans="2:11" x14ac:dyDescent="0.3">
      <c r="B537" s="20" t="s">
        <v>5</v>
      </c>
      <c r="C537" s="22" t="str">
        <v>AC</v>
      </c>
    </row>
    <row r="538" spans="2:11" x14ac:dyDescent="0.3">
      <c r="B538" s="20" t="s">
        <v>145</v>
      </c>
      <c r="C538" s="22">
        <v>32000</v>
      </c>
    </row>
    <row r="539" spans="2:11" x14ac:dyDescent="0.3">
      <c r="B539" s="20" t="s">
        <v>144</v>
      </c>
      <c r="C539" s="22">
        <v>2</v>
      </c>
    </row>
    <row r="540" spans="2:11" x14ac:dyDescent="0.3">
      <c r="B540" s="20" t="s">
        <v>146</v>
      </c>
      <c r="C540" s="22">
        <v>64000</v>
      </c>
    </row>
    <row r="542" spans="2:11" x14ac:dyDescent="0.3">
      <c r="B542" s="23" t="s">
        <v>149</v>
      </c>
      <c r="C542" s="23"/>
      <c r="D542" s="23"/>
    </row>
    <row r="543" spans="2:11" x14ac:dyDescent="0.3">
      <c r="B543" s="20" t="s">
        <v>115</v>
      </c>
      <c r="C543" s="21" t="s">
        <v>147</v>
      </c>
    </row>
    <row r="544" spans="2:11" x14ac:dyDescent="0.3">
      <c r="B544" s="20" t="s">
        <v>1</v>
      </c>
      <c r="C544" s="22" t="str" cm="1">
        <f t="array" ref="C544:C551">TRANSPOSE(_xlfn.XLOOKUP($C$543,$B$2:$B$384,CHOOSE({1,2,3,4,5,6,7,8},$C$2:$C$384,$D$2:$D$384,$F$2:$F$384,$E$2:$E$384,$G$2:$G$384,$I$2:$I$384,$H$2:$H$384,$J$2:$J$384),0,0,-1))</f>
        <v>EMP006</v>
      </c>
    </row>
    <row r="545" spans="2:3" x14ac:dyDescent="0.3">
      <c r="B545" s="20" t="s">
        <v>2</v>
      </c>
      <c r="C545" s="22" t="str">
        <v>Anjali Chauhan</v>
      </c>
    </row>
    <row r="546" spans="2:3" x14ac:dyDescent="0.3">
      <c r="B546" s="20" t="s">
        <v>4</v>
      </c>
      <c r="C546" s="22" t="str">
        <v>Pauri</v>
      </c>
    </row>
    <row r="547" spans="2:3" x14ac:dyDescent="0.3">
      <c r="B547" s="20" t="s">
        <v>3</v>
      </c>
      <c r="C547" s="22" t="str">
        <v>Uttarakhand</v>
      </c>
    </row>
    <row r="548" spans="2:3" x14ac:dyDescent="0.3">
      <c r="B548" s="20" t="s">
        <v>5</v>
      </c>
      <c r="C548" s="22" t="str">
        <v>Water Cooler</v>
      </c>
    </row>
    <row r="549" spans="2:3" x14ac:dyDescent="0.3">
      <c r="B549" s="20" t="s">
        <v>145</v>
      </c>
      <c r="C549" s="22">
        <v>14900</v>
      </c>
    </row>
    <row r="550" spans="2:3" x14ac:dyDescent="0.3">
      <c r="B550" s="20" t="s">
        <v>144</v>
      </c>
      <c r="C550" s="22">
        <v>6</v>
      </c>
    </row>
    <row r="551" spans="2:3" x14ac:dyDescent="0.3">
      <c r="B551" s="20" t="s">
        <v>146</v>
      </c>
      <c r="C551" s="22">
        <v>89400</v>
      </c>
    </row>
  </sheetData>
  <mergeCells count="21">
    <mergeCell ref="B542:D542"/>
    <mergeCell ref="B408:H408"/>
    <mergeCell ref="A1:J1"/>
    <mergeCell ref="B399:F399"/>
    <mergeCell ref="B402:F402"/>
    <mergeCell ref="B469:D469"/>
    <mergeCell ref="B386:E386"/>
    <mergeCell ref="B389:D389"/>
    <mergeCell ref="B392:E392"/>
    <mergeCell ref="B395:D395"/>
    <mergeCell ref="B405:D405"/>
    <mergeCell ref="B415:E415"/>
    <mergeCell ref="B426:E426"/>
    <mergeCell ref="B443:D443"/>
    <mergeCell ref="B446:F446"/>
    <mergeCell ref="B458:E458"/>
    <mergeCell ref="B511:D511"/>
    <mergeCell ref="B514:E514"/>
    <mergeCell ref="B477:D477"/>
    <mergeCell ref="B494:E494"/>
    <mergeCell ref="B531:D531"/>
  </mergeCells>
  <conditionalFormatting sqref="O448:O455">
    <cfRule type="cellIs" dxfId="0" priority="1" operator="greaterThan">
      <formula>1</formula>
    </cfRule>
  </conditionalFormatting>
  <dataValidations count="2">
    <dataValidation type="custom" allowBlank="1" showInputMessage="1" showErrorMessage="1" sqref="D532" xr:uid="{AF08E014-882D-4CB8-AD37-EADE981F243F}">
      <formula1>_xlfn.UNIQUE($B$3:$B$384)</formula1>
    </dataValidation>
    <dataValidation type="list" allowBlank="1" showInputMessage="1" showErrorMessage="1" sqref="C532 C543" xr:uid="{7EB2DD7E-192C-40A2-8ACB-4F3463F7646D}">
      <formula1>"April,May,June,July,August,September,October,November,December,January,February,March"</formula1>
    </dataValidation>
  </dataValidation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Goel</dc:creator>
  <cp:lastModifiedBy>Naman Goel</cp:lastModifiedBy>
  <dcterms:created xsi:type="dcterms:W3CDTF">2025-08-31T15:24:41Z</dcterms:created>
  <dcterms:modified xsi:type="dcterms:W3CDTF">2025-09-21T12:06:41Z</dcterms:modified>
</cp:coreProperties>
</file>